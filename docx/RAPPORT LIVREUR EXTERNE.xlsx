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Z:\EXPLOITATION boulangerie et patisserie 2025\SUIVIE DISTRIBUTION MENSUEL\"/>
    </mc:Choice>
  </mc:AlternateContent>
  <xr:revisionPtr revIDLastSave="0" documentId="13_ncr:1_{ED4427F9-F20E-46BD-8378-C86FC987ED27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DOUGLAS" sheetId="1" r:id="rId1"/>
    <sheet name="MOUSTAPHA" sheetId="2" r:id="rId2"/>
    <sheet name="TEDONFO" sheetId="3" r:id="rId3"/>
    <sheet name="OUMAROU" sheetId="4" r:id="rId4"/>
    <sheet name="RODRIGUE" sheetId="5" r:id="rId5"/>
    <sheet name="ROMEO" sheetId="6" r:id="rId6"/>
    <sheet name="SALAS" sheetId="7" r:id="rId7"/>
    <sheet name="TCHOUPO" sheetId="8" r:id="rId8"/>
    <sheet name="FIDELIS" sheetId="9" r:id="rId9"/>
    <sheet name="HERVE" sheetId="10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8" l="1"/>
  <c r="J7" i="8"/>
  <c r="J8" i="8"/>
  <c r="J9" i="8"/>
  <c r="J10" i="8"/>
  <c r="J11" i="8"/>
  <c r="J12" i="8"/>
  <c r="J13" i="8"/>
  <c r="J14" i="8"/>
  <c r="J15" i="8"/>
  <c r="J16" i="8"/>
  <c r="J17" i="8"/>
  <c r="J18" i="8"/>
  <c r="J5" i="8"/>
  <c r="J5" i="6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5" i="7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K12" i="6"/>
  <c r="K8" i="6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5" i="5"/>
  <c r="F19" i="5"/>
  <c r="G19" i="5"/>
  <c r="H19" i="5"/>
  <c r="I19" i="5"/>
  <c r="F20" i="5"/>
  <c r="G20" i="5"/>
  <c r="H20" i="5"/>
  <c r="I20" i="5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5" i="4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5" i="3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5" i="2"/>
  <c r="J18" i="1"/>
  <c r="L5" i="1"/>
  <c r="K10" i="1"/>
  <c r="J6" i="1"/>
  <c r="J7" i="1"/>
  <c r="J8" i="1"/>
  <c r="J9" i="1"/>
  <c r="J10" i="1"/>
  <c r="J11" i="1"/>
  <c r="J12" i="1"/>
  <c r="J13" i="1"/>
  <c r="J14" i="1"/>
  <c r="J15" i="1"/>
  <c r="J16" i="1"/>
  <c r="J17" i="1"/>
  <c r="J5" i="1"/>
  <c r="J19" i="1"/>
  <c r="K35" i="10"/>
  <c r="K34" i="10"/>
  <c r="K33" i="10"/>
  <c r="K32" i="10"/>
  <c r="J31" i="10"/>
  <c r="F31" i="10"/>
  <c r="C31" i="10"/>
  <c r="E31" i="10"/>
  <c r="D31" i="10"/>
  <c r="K35" i="9"/>
  <c r="K34" i="9"/>
  <c r="K33" i="9"/>
  <c r="K32" i="9"/>
  <c r="J31" i="9"/>
  <c r="F31" i="9"/>
  <c r="E31" i="9"/>
  <c r="D31" i="9"/>
  <c r="C31" i="9"/>
  <c r="K35" i="8"/>
  <c r="K34" i="8"/>
  <c r="K33" i="8"/>
  <c r="K32" i="8"/>
  <c r="J31" i="8"/>
  <c r="E31" i="8"/>
  <c r="D31" i="8"/>
  <c r="C31" i="8"/>
  <c r="F31" i="8"/>
  <c r="K35" i="7"/>
  <c r="K34" i="7"/>
  <c r="K33" i="7"/>
  <c r="K32" i="7"/>
  <c r="J31" i="7"/>
  <c r="F31" i="7"/>
  <c r="E31" i="7"/>
  <c r="D31" i="7"/>
  <c r="C31" i="7"/>
  <c r="K35" i="6"/>
  <c r="K34" i="6"/>
  <c r="K33" i="6"/>
  <c r="K32" i="6"/>
  <c r="J31" i="6"/>
  <c r="F31" i="6"/>
  <c r="E31" i="6"/>
  <c r="D31" i="6"/>
  <c r="C31" i="6"/>
  <c r="K35" i="5"/>
  <c r="K34" i="5"/>
  <c r="K33" i="5"/>
  <c r="K32" i="5"/>
  <c r="K35" i="4"/>
  <c r="K34" i="4"/>
  <c r="K33" i="4"/>
  <c r="K32" i="4"/>
  <c r="F31" i="4"/>
  <c r="E31" i="4"/>
  <c r="D31" i="4"/>
  <c r="C31" i="4"/>
  <c r="K35" i="3"/>
  <c r="K34" i="3"/>
  <c r="K33" i="3"/>
  <c r="K32" i="3"/>
  <c r="F31" i="3"/>
  <c r="E31" i="3"/>
  <c r="D31" i="3"/>
  <c r="C31" i="3"/>
  <c r="K35" i="1"/>
  <c r="K34" i="1"/>
  <c r="K33" i="1"/>
  <c r="K32" i="1"/>
  <c r="K35" i="2"/>
  <c r="K34" i="2"/>
  <c r="K33" i="2"/>
  <c r="K32" i="2"/>
  <c r="E31" i="2"/>
  <c r="D31" i="2"/>
  <c r="C31" i="2"/>
  <c r="D31" i="5" l="1"/>
  <c r="E31" i="5"/>
  <c r="F31" i="5"/>
  <c r="C31" i="5"/>
  <c r="C30" i="5"/>
  <c r="J31" i="1"/>
  <c r="I31" i="1"/>
  <c r="H31" i="1"/>
  <c r="G31" i="1"/>
  <c r="F31" i="1"/>
  <c r="E31" i="1"/>
  <c r="D31" i="1"/>
  <c r="C31" i="1"/>
  <c r="C30" i="1"/>
  <c r="J30" i="1"/>
  <c r="E30" i="1"/>
  <c r="E29" i="1"/>
  <c r="D30" i="1"/>
  <c r="B30" i="10"/>
  <c r="C30" i="10"/>
  <c r="D30" i="10"/>
  <c r="E30" i="10"/>
  <c r="F30" i="10"/>
  <c r="G30" i="10"/>
  <c r="H30" i="10"/>
  <c r="I30" i="10"/>
  <c r="J30" i="10"/>
  <c r="K30" i="10"/>
  <c r="B30" i="8"/>
  <c r="C30" i="8"/>
  <c r="D30" i="8"/>
  <c r="E30" i="8"/>
  <c r="F30" i="8"/>
  <c r="G30" i="8"/>
  <c r="H30" i="8"/>
  <c r="I30" i="8"/>
  <c r="J30" i="8"/>
  <c r="K30" i="8"/>
  <c r="B30" i="7"/>
  <c r="C30" i="7"/>
  <c r="D30" i="7"/>
  <c r="E30" i="7"/>
  <c r="F30" i="7"/>
  <c r="G30" i="7"/>
  <c r="H30" i="7"/>
  <c r="I30" i="7"/>
  <c r="J30" i="7"/>
  <c r="K30" i="7"/>
  <c r="B30" i="6"/>
  <c r="C30" i="6"/>
  <c r="D30" i="6"/>
  <c r="E30" i="6"/>
  <c r="F30" i="6"/>
  <c r="G30" i="6"/>
  <c r="H30" i="6"/>
  <c r="I30" i="6"/>
  <c r="J30" i="6"/>
  <c r="K30" i="6"/>
  <c r="B30" i="5"/>
  <c r="D30" i="5"/>
  <c r="E30" i="5"/>
  <c r="F30" i="5"/>
  <c r="G30" i="5"/>
  <c r="H30" i="5"/>
  <c r="I30" i="5"/>
  <c r="J30" i="5"/>
  <c r="K30" i="5"/>
  <c r="B30" i="4"/>
  <c r="C30" i="4"/>
  <c r="D30" i="4"/>
  <c r="E30" i="4"/>
  <c r="F30" i="4"/>
  <c r="G30" i="4"/>
  <c r="H30" i="4"/>
  <c r="I30" i="4"/>
  <c r="J30" i="4"/>
  <c r="K30" i="4"/>
  <c r="B30" i="3"/>
  <c r="C30" i="3"/>
  <c r="D30" i="3"/>
  <c r="E30" i="3"/>
  <c r="F30" i="3"/>
  <c r="G30" i="3"/>
  <c r="H30" i="3"/>
  <c r="I30" i="3"/>
  <c r="J30" i="3"/>
  <c r="K30" i="3"/>
  <c r="B30" i="2"/>
  <c r="C30" i="2"/>
  <c r="D30" i="2"/>
  <c r="E30" i="2"/>
  <c r="F30" i="2"/>
  <c r="G30" i="2"/>
  <c r="H30" i="2"/>
  <c r="I30" i="2"/>
  <c r="J30" i="2"/>
  <c r="K30" i="2"/>
  <c r="B30" i="1"/>
  <c r="F30" i="1"/>
  <c r="G30" i="1"/>
  <c r="H30" i="1"/>
  <c r="I30" i="1"/>
  <c r="K30" i="1"/>
  <c r="B30" i="9"/>
  <c r="C30" i="9"/>
  <c r="C32" i="9"/>
  <c r="C33" i="9"/>
  <c r="C34" i="9"/>
  <c r="C35" i="9"/>
  <c r="D32" i="9"/>
  <c r="D33" i="9"/>
  <c r="D34" i="9"/>
  <c r="D35" i="9"/>
  <c r="E32" i="9"/>
  <c r="E33" i="9"/>
  <c r="E34" i="9"/>
  <c r="E35" i="9"/>
  <c r="F32" i="9"/>
  <c r="F33" i="9"/>
  <c r="F34" i="9"/>
  <c r="F35" i="9"/>
  <c r="D30" i="9"/>
  <c r="E30" i="9"/>
  <c r="F30" i="9"/>
  <c r="G30" i="9"/>
  <c r="H30" i="9"/>
  <c r="I30" i="9"/>
  <c r="K30" i="9"/>
  <c r="J30" i="9"/>
  <c r="J29" i="9"/>
  <c r="K31" i="10"/>
  <c r="K31" i="9"/>
  <c r="K31" i="8"/>
  <c r="K22" i="8"/>
  <c r="K31" i="7"/>
  <c r="K31" i="6"/>
  <c r="J19" i="6"/>
  <c r="K31" i="5"/>
  <c r="K31" i="2"/>
  <c r="K31" i="4"/>
  <c r="K31" i="3"/>
  <c r="K31" i="1"/>
  <c r="B19" i="1"/>
  <c r="C19" i="1"/>
  <c r="D19" i="1"/>
  <c r="E19" i="1"/>
  <c r="F19" i="1"/>
  <c r="G19" i="1"/>
  <c r="H19" i="1"/>
  <c r="I19" i="1"/>
  <c r="K19" i="1"/>
  <c r="B19" i="2"/>
  <c r="C19" i="2"/>
  <c r="D19" i="2"/>
  <c r="E19" i="2"/>
  <c r="F19" i="2"/>
  <c r="G19" i="2"/>
  <c r="H19" i="2"/>
  <c r="I19" i="2"/>
  <c r="J19" i="2"/>
  <c r="K19" i="2"/>
  <c r="B19" i="3"/>
  <c r="C19" i="3"/>
  <c r="D19" i="3"/>
  <c r="E19" i="3"/>
  <c r="F19" i="3"/>
  <c r="G19" i="3"/>
  <c r="H19" i="3"/>
  <c r="I19" i="3"/>
  <c r="J19" i="3"/>
  <c r="K19" i="3"/>
  <c r="B19" i="4"/>
  <c r="C19" i="4"/>
  <c r="D19" i="4"/>
  <c r="E19" i="4"/>
  <c r="F19" i="4"/>
  <c r="G19" i="4"/>
  <c r="H19" i="4"/>
  <c r="I19" i="4"/>
  <c r="J19" i="4"/>
  <c r="K19" i="4"/>
  <c r="B19" i="5"/>
  <c r="C19" i="5"/>
  <c r="D19" i="5"/>
  <c r="E19" i="5"/>
  <c r="J19" i="5"/>
  <c r="K19" i="5"/>
  <c r="B19" i="6"/>
  <c r="C19" i="6"/>
  <c r="D19" i="6"/>
  <c r="E19" i="6"/>
  <c r="F19" i="6"/>
  <c r="G19" i="6"/>
  <c r="H19" i="6"/>
  <c r="I19" i="6"/>
  <c r="K19" i="6"/>
  <c r="B19" i="7"/>
  <c r="C19" i="7"/>
  <c r="D19" i="7"/>
  <c r="E19" i="7"/>
  <c r="F19" i="7"/>
  <c r="G19" i="7"/>
  <c r="H19" i="7"/>
  <c r="I19" i="7"/>
  <c r="J19" i="7"/>
  <c r="K19" i="7"/>
  <c r="K19" i="8"/>
  <c r="C19" i="8"/>
  <c r="D19" i="8"/>
  <c r="E19" i="8"/>
  <c r="F19" i="8"/>
  <c r="G19" i="8"/>
  <c r="H19" i="8"/>
  <c r="I19" i="8"/>
  <c r="J19" i="8"/>
  <c r="B19" i="8"/>
  <c r="K19" i="9"/>
  <c r="C19" i="9"/>
  <c r="D19" i="9"/>
  <c r="E19" i="9"/>
  <c r="F19" i="9"/>
  <c r="G19" i="9"/>
  <c r="H19" i="9"/>
  <c r="I19" i="9"/>
  <c r="J19" i="9"/>
  <c r="B19" i="9"/>
  <c r="C19" i="10"/>
  <c r="D19" i="10"/>
  <c r="E19" i="10"/>
  <c r="F19" i="10"/>
  <c r="G19" i="10"/>
  <c r="H19" i="10"/>
  <c r="I19" i="10"/>
  <c r="J19" i="10"/>
  <c r="B19" i="10"/>
  <c r="K21" i="10"/>
  <c r="C21" i="10"/>
  <c r="D21" i="10"/>
  <c r="E21" i="10"/>
  <c r="F21" i="10"/>
  <c r="G21" i="10"/>
  <c r="H21" i="10"/>
  <c r="I21" i="10"/>
  <c r="J21" i="10"/>
  <c r="B21" i="10"/>
  <c r="K21" i="9"/>
  <c r="K20" i="9"/>
  <c r="C21" i="9"/>
  <c r="D21" i="9"/>
  <c r="E21" i="9"/>
  <c r="F21" i="9"/>
  <c r="G21" i="9"/>
  <c r="H21" i="9"/>
  <c r="I21" i="9"/>
  <c r="J21" i="9"/>
  <c r="B21" i="9"/>
  <c r="K21" i="8"/>
  <c r="C21" i="8"/>
  <c r="D21" i="8"/>
  <c r="E21" i="8"/>
  <c r="F21" i="8"/>
  <c r="G21" i="8"/>
  <c r="H21" i="8"/>
  <c r="I21" i="8"/>
  <c r="J21" i="8"/>
  <c r="B21" i="8"/>
  <c r="K21" i="7"/>
  <c r="C21" i="7"/>
  <c r="D21" i="7"/>
  <c r="E21" i="7"/>
  <c r="F21" i="7"/>
  <c r="G21" i="7"/>
  <c r="H21" i="7"/>
  <c r="I21" i="7"/>
  <c r="J21" i="7"/>
  <c r="B21" i="7"/>
  <c r="B22" i="6"/>
  <c r="K21" i="6"/>
  <c r="C21" i="6"/>
  <c r="D21" i="6"/>
  <c r="E21" i="6"/>
  <c r="F21" i="6"/>
  <c r="G21" i="6"/>
  <c r="H21" i="6"/>
  <c r="I21" i="6"/>
  <c r="J21" i="6"/>
  <c r="B21" i="6"/>
  <c r="K21" i="5"/>
  <c r="C21" i="5"/>
  <c r="D21" i="5"/>
  <c r="E21" i="5"/>
  <c r="F21" i="5"/>
  <c r="G21" i="5"/>
  <c r="H21" i="5"/>
  <c r="I21" i="5"/>
  <c r="J21" i="5"/>
  <c r="B21" i="5"/>
  <c r="K21" i="4"/>
  <c r="C21" i="4"/>
  <c r="D21" i="4"/>
  <c r="E21" i="4"/>
  <c r="F21" i="4"/>
  <c r="G21" i="4"/>
  <c r="H21" i="4"/>
  <c r="I21" i="4"/>
  <c r="J21" i="4"/>
  <c r="B21" i="4"/>
  <c r="K21" i="3"/>
  <c r="C21" i="3"/>
  <c r="D21" i="3"/>
  <c r="E21" i="3"/>
  <c r="F21" i="3"/>
  <c r="G21" i="3"/>
  <c r="H21" i="3"/>
  <c r="I21" i="3"/>
  <c r="J21" i="3"/>
  <c r="B21" i="3"/>
  <c r="K21" i="2"/>
  <c r="C21" i="2"/>
  <c r="D21" i="2"/>
  <c r="E21" i="2"/>
  <c r="F21" i="2"/>
  <c r="G21" i="2"/>
  <c r="H21" i="2"/>
  <c r="I21" i="2"/>
  <c r="J21" i="2"/>
  <c r="B21" i="2"/>
  <c r="K21" i="1"/>
  <c r="C21" i="1"/>
  <c r="D21" i="1"/>
  <c r="E21" i="1"/>
  <c r="F21" i="1"/>
  <c r="G21" i="1"/>
  <c r="H21" i="1"/>
  <c r="I21" i="1"/>
  <c r="J21" i="1"/>
  <c r="B21" i="1"/>
  <c r="L21" i="10" l="1"/>
  <c r="K29" i="10"/>
  <c r="K28" i="10"/>
  <c r="K27" i="10"/>
  <c r="K26" i="10"/>
  <c r="K25" i="10"/>
  <c r="K24" i="10"/>
  <c r="K23" i="10"/>
  <c r="K22" i="10"/>
  <c r="K20" i="10"/>
  <c r="C20" i="10"/>
  <c r="D20" i="10"/>
  <c r="E20" i="10"/>
  <c r="F20" i="10"/>
  <c r="G20" i="10"/>
  <c r="H20" i="10"/>
  <c r="I20" i="10"/>
  <c r="J20" i="10"/>
  <c r="C22" i="10"/>
  <c r="D22" i="10"/>
  <c r="E22" i="10"/>
  <c r="F22" i="10"/>
  <c r="G22" i="10"/>
  <c r="H22" i="10"/>
  <c r="I22" i="10"/>
  <c r="J22" i="10"/>
  <c r="L22" i="10" s="1"/>
  <c r="C23" i="10"/>
  <c r="D23" i="10"/>
  <c r="E23" i="10"/>
  <c r="F23" i="10"/>
  <c r="G23" i="10"/>
  <c r="H23" i="10"/>
  <c r="I23" i="10"/>
  <c r="J23" i="10"/>
  <c r="C24" i="10"/>
  <c r="D24" i="10"/>
  <c r="E24" i="10"/>
  <c r="F24" i="10"/>
  <c r="G24" i="10"/>
  <c r="H24" i="10"/>
  <c r="I24" i="10"/>
  <c r="J24" i="10"/>
  <c r="C25" i="10"/>
  <c r="D25" i="10"/>
  <c r="E25" i="10"/>
  <c r="F25" i="10"/>
  <c r="G25" i="10"/>
  <c r="H25" i="10"/>
  <c r="I25" i="10"/>
  <c r="J25" i="10"/>
  <c r="C26" i="10"/>
  <c r="D26" i="10"/>
  <c r="E26" i="10"/>
  <c r="F26" i="10"/>
  <c r="G26" i="10"/>
  <c r="H26" i="10"/>
  <c r="I26" i="10"/>
  <c r="J26" i="10"/>
  <c r="C27" i="10"/>
  <c r="D27" i="10"/>
  <c r="E27" i="10"/>
  <c r="F27" i="10"/>
  <c r="G27" i="10"/>
  <c r="H27" i="10"/>
  <c r="I27" i="10"/>
  <c r="J27" i="10"/>
  <c r="C28" i="10"/>
  <c r="D28" i="10"/>
  <c r="E28" i="10"/>
  <c r="F28" i="10"/>
  <c r="G28" i="10"/>
  <c r="H28" i="10"/>
  <c r="I28" i="10"/>
  <c r="J28" i="10"/>
  <c r="C29" i="10"/>
  <c r="D29" i="10"/>
  <c r="E29" i="10"/>
  <c r="F29" i="10"/>
  <c r="G29" i="10"/>
  <c r="H29" i="10"/>
  <c r="I29" i="10"/>
  <c r="J29" i="10"/>
  <c r="G31" i="10"/>
  <c r="H31" i="10"/>
  <c r="I31" i="10"/>
  <c r="C32" i="10"/>
  <c r="D32" i="10"/>
  <c r="E32" i="10"/>
  <c r="F32" i="10"/>
  <c r="G32" i="10"/>
  <c r="H32" i="10"/>
  <c r="I32" i="10"/>
  <c r="J32" i="10"/>
  <c r="C33" i="10"/>
  <c r="D33" i="10"/>
  <c r="E33" i="10"/>
  <c r="F33" i="10"/>
  <c r="G33" i="10"/>
  <c r="H33" i="10"/>
  <c r="I33" i="10"/>
  <c r="J33" i="10"/>
  <c r="C34" i="10"/>
  <c r="D34" i="10"/>
  <c r="E34" i="10"/>
  <c r="F34" i="10"/>
  <c r="G34" i="10"/>
  <c r="H34" i="10"/>
  <c r="I34" i="10"/>
  <c r="J34" i="10"/>
  <c r="C35" i="10"/>
  <c r="D35" i="10"/>
  <c r="E35" i="10"/>
  <c r="F35" i="10"/>
  <c r="G35" i="10"/>
  <c r="H35" i="10"/>
  <c r="I35" i="10"/>
  <c r="J35" i="10"/>
  <c r="B35" i="10"/>
  <c r="B34" i="10"/>
  <c r="B33" i="10"/>
  <c r="B32" i="10"/>
  <c r="B31" i="10"/>
  <c r="B29" i="10"/>
  <c r="B28" i="10"/>
  <c r="B27" i="10"/>
  <c r="B26" i="10"/>
  <c r="B25" i="10"/>
  <c r="B24" i="10"/>
  <c r="B23" i="10"/>
  <c r="B22" i="10"/>
  <c r="B20" i="10"/>
  <c r="K29" i="9"/>
  <c r="K28" i="9"/>
  <c r="K27" i="9"/>
  <c r="K26" i="9"/>
  <c r="K25" i="9"/>
  <c r="K24" i="9"/>
  <c r="K23" i="9"/>
  <c r="K22" i="9"/>
  <c r="C20" i="9"/>
  <c r="D20" i="9"/>
  <c r="E20" i="9"/>
  <c r="F20" i="9"/>
  <c r="G20" i="9"/>
  <c r="H20" i="9"/>
  <c r="I20" i="9"/>
  <c r="J20" i="9"/>
  <c r="C22" i="9"/>
  <c r="D22" i="9"/>
  <c r="E22" i="9"/>
  <c r="F22" i="9"/>
  <c r="G22" i="9"/>
  <c r="H22" i="9"/>
  <c r="I22" i="9"/>
  <c r="J22" i="9"/>
  <c r="C23" i="9"/>
  <c r="D23" i="9"/>
  <c r="E23" i="9"/>
  <c r="F23" i="9"/>
  <c r="G23" i="9"/>
  <c r="H23" i="9"/>
  <c r="I23" i="9"/>
  <c r="J23" i="9"/>
  <c r="C24" i="9"/>
  <c r="D24" i="9"/>
  <c r="E24" i="9"/>
  <c r="F24" i="9"/>
  <c r="G24" i="9"/>
  <c r="H24" i="9"/>
  <c r="I24" i="9"/>
  <c r="J24" i="9"/>
  <c r="C25" i="9"/>
  <c r="D25" i="9"/>
  <c r="E25" i="9"/>
  <c r="F25" i="9"/>
  <c r="G25" i="9"/>
  <c r="H25" i="9"/>
  <c r="I25" i="9"/>
  <c r="J25" i="9"/>
  <c r="C26" i="9"/>
  <c r="D26" i="9"/>
  <c r="E26" i="9"/>
  <c r="F26" i="9"/>
  <c r="G26" i="9"/>
  <c r="H26" i="9"/>
  <c r="I26" i="9"/>
  <c r="J26" i="9"/>
  <c r="C27" i="9"/>
  <c r="D27" i="9"/>
  <c r="E27" i="9"/>
  <c r="F27" i="9"/>
  <c r="G27" i="9"/>
  <c r="H27" i="9"/>
  <c r="I27" i="9"/>
  <c r="J27" i="9"/>
  <c r="C28" i="9"/>
  <c r="D28" i="9"/>
  <c r="E28" i="9"/>
  <c r="F28" i="9"/>
  <c r="G28" i="9"/>
  <c r="H28" i="9"/>
  <c r="I28" i="9"/>
  <c r="J28" i="9"/>
  <c r="C29" i="9"/>
  <c r="D29" i="9"/>
  <c r="E29" i="9"/>
  <c r="F29" i="9"/>
  <c r="G29" i="9"/>
  <c r="H29" i="9"/>
  <c r="I29" i="9"/>
  <c r="G31" i="9"/>
  <c r="H31" i="9"/>
  <c r="I31" i="9"/>
  <c r="G32" i="9"/>
  <c r="H32" i="9"/>
  <c r="I32" i="9"/>
  <c r="J32" i="9"/>
  <c r="G33" i="9"/>
  <c r="H33" i="9"/>
  <c r="I33" i="9"/>
  <c r="J33" i="9"/>
  <c r="G34" i="9"/>
  <c r="H34" i="9"/>
  <c r="I34" i="9"/>
  <c r="J34" i="9"/>
  <c r="G35" i="9"/>
  <c r="H35" i="9"/>
  <c r="I35" i="9"/>
  <c r="J35" i="9"/>
  <c r="B35" i="9"/>
  <c r="B34" i="9"/>
  <c r="B33" i="9"/>
  <c r="B32" i="9"/>
  <c r="B31" i="9"/>
  <c r="B29" i="9"/>
  <c r="B28" i="9"/>
  <c r="B27" i="9"/>
  <c r="B26" i="9"/>
  <c r="B25" i="9"/>
  <c r="B24" i="9"/>
  <c r="B23" i="9"/>
  <c r="B22" i="9"/>
  <c r="B20" i="9"/>
  <c r="K29" i="8"/>
  <c r="K28" i="8"/>
  <c r="K27" i="8"/>
  <c r="K26" i="8"/>
  <c r="K25" i="8"/>
  <c r="K24" i="8"/>
  <c r="K23" i="8"/>
  <c r="K20" i="8"/>
  <c r="C20" i="8"/>
  <c r="D20" i="8"/>
  <c r="E20" i="8"/>
  <c r="F20" i="8"/>
  <c r="G20" i="8"/>
  <c r="H20" i="8"/>
  <c r="I20" i="8"/>
  <c r="J20" i="8"/>
  <c r="C22" i="8"/>
  <c r="D22" i="8"/>
  <c r="E22" i="8"/>
  <c r="F22" i="8"/>
  <c r="G22" i="8"/>
  <c r="H22" i="8"/>
  <c r="I22" i="8"/>
  <c r="J22" i="8"/>
  <c r="C23" i="8"/>
  <c r="D23" i="8"/>
  <c r="E23" i="8"/>
  <c r="F23" i="8"/>
  <c r="G23" i="8"/>
  <c r="H23" i="8"/>
  <c r="I23" i="8"/>
  <c r="J23" i="8"/>
  <c r="C24" i="8"/>
  <c r="D24" i="8"/>
  <c r="E24" i="8"/>
  <c r="F24" i="8"/>
  <c r="G24" i="8"/>
  <c r="H24" i="8"/>
  <c r="I24" i="8"/>
  <c r="J24" i="8"/>
  <c r="C25" i="8"/>
  <c r="D25" i="8"/>
  <c r="E25" i="8"/>
  <c r="F25" i="8"/>
  <c r="G25" i="8"/>
  <c r="H25" i="8"/>
  <c r="I25" i="8"/>
  <c r="J25" i="8"/>
  <c r="C26" i="8"/>
  <c r="D26" i="8"/>
  <c r="E26" i="8"/>
  <c r="F26" i="8"/>
  <c r="G26" i="8"/>
  <c r="H26" i="8"/>
  <c r="I26" i="8"/>
  <c r="J26" i="8"/>
  <c r="C27" i="8"/>
  <c r="D27" i="8"/>
  <c r="E27" i="8"/>
  <c r="F27" i="8"/>
  <c r="G27" i="8"/>
  <c r="H27" i="8"/>
  <c r="I27" i="8"/>
  <c r="J27" i="8"/>
  <c r="C28" i="8"/>
  <c r="D28" i="8"/>
  <c r="E28" i="8"/>
  <c r="F28" i="8"/>
  <c r="G28" i="8"/>
  <c r="H28" i="8"/>
  <c r="I28" i="8"/>
  <c r="J28" i="8"/>
  <c r="C29" i="8"/>
  <c r="D29" i="8"/>
  <c r="E29" i="8"/>
  <c r="F29" i="8"/>
  <c r="G29" i="8"/>
  <c r="H29" i="8"/>
  <c r="I29" i="8"/>
  <c r="J29" i="8"/>
  <c r="G31" i="8"/>
  <c r="H31" i="8"/>
  <c r="I31" i="8"/>
  <c r="C32" i="8"/>
  <c r="D32" i="8"/>
  <c r="E32" i="8"/>
  <c r="F32" i="8"/>
  <c r="G32" i="8"/>
  <c r="H32" i="8"/>
  <c r="I32" i="8"/>
  <c r="J32" i="8"/>
  <c r="C33" i="8"/>
  <c r="D33" i="8"/>
  <c r="E33" i="8"/>
  <c r="F33" i="8"/>
  <c r="G33" i="8"/>
  <c r="H33" i="8"/>
  <c r="I33" i="8"/>
  <c r="J33" i="8"/>
  <c r="C34" i="8"/>
  <c r="D34" i="8"/>
  <c r="E34" i="8"/>
  <c r="F34" i="8"/>
  <c r="G34" i="8"/>
  <c r="H34" i="8"/>
  <c r="I34" i="8"/>
  <c r="J34" i="8"/>
  <c r="C35" i="8"/>
  <c r="D35" i="8"/>
  <c r="E35" i="8"/>
  <c r="F35" i="8"/>
  <c r="G35" i="8"/>
  <c r="H35" i="8"/>
  <c r="I35" i="8"/>
  <c r="J35" i="8"/>
  <c r="B35" i="8"/>
  <c r="B34" i="8"/>
  <c r="B33" i="8"/>
  <c r="B32" i="8"/>
  <c r="B31" i="8"/>
  <c r="B29" i="8"/>
  <c r="B28" i="8"/>
  <c r="B27" i="8"/>
  <c r="B26" i="8"/>
  <c r="B25" i="8"/>
  <c r="B24" i="8"/>
  <c r="B23" i="8"/>
  <c r="B22" i="8"/>
  <c r="B20" i="8"/>
  <c r="K29" i="7"/>
  <c r="K28" i="7"/>
  <c r="K27" i="7"/>
  <c r="K26" i="7"/>
  <c r="K25" i="7"/>
  <c r="K24" i="7"/>
  <c r="K23" i="7"/>
  <c r="K22" i="7"/>
  <c r="K20" i="7"/>
  <c r="C20" i="7"/>
  <c r="D20" i="7"/>
  <c r="E20" i="7"/>
  <c r="F20" i="7"/>
  <c r="G20" i="7"/>
  <c r="H20" i="7"/>
  <c r="I20" i="7"/>
  <c r="J20" i="7"/>
  <c r="C22" i="7"/>
  <c r="D22" i="7"/>
  <c r="E22" i="7"/>
  <c r="F22" i="7"/>
  <c r="G22" i="7"/>
  <c r="H22" i="7"/>
  <c r="I22" i="7"/>
  <c r="J22" i="7"/>
  <c r="C23" i="7"/>
  <c r="D23" i="7"/>
  <c r="E23" i="7"/>
  <c r="F23" i="7"/>
  <c r="G23" i="7"/>
  <c r="H23" i="7"/>
  <c r="I23" i="7"/>
  <c r="J23" i="7"/>
  <c r="C24" i="7"/>
  <c r="D24" i="7"/>
  <c r="E24" i="7"/>
  <c r="F24" i="7"/>
  <c r="G24" i="7"/>
  <c r="H24" i="7"/>
  <c r="I24" i="7"/>
  <c r="J24" i="7"/>
  <c r="C25" i="7"/>
  <c r="D25" i="7"/>
  <c r="E25" i="7"/>
  <c r="F25" i="7"/>
  <c r="G25" i="7"/>
  <c r="H25" i="7"/>
  <c r="I25" i="7"/>
  <c r="J25" i="7"/>
  <c r="C26" i="7"/>
  <c r="D26" i="7"/>
  <c r="E26" i="7"/>
  <c r="F26" i="7"/>
  <c r="G26" i="7"/>
  <c r="H26" i="7"/>
  <c r="I26" i="7"/>
  <c r="J26" i="7"/>
  <c r="C27" i="7"/>
  <c r="D27" i="7"/>
  <c r="E27" i="7"/>
  <c r="F27" i="7"/>
  <c r="G27" i="7"/>
  <c r="H27" i="7"/>
  <c r="I27" i="7"/>
  <c r="J27" i="7"/>
  <c r="C28" i="7"/>
  <c r="D28" i="7"/>
  <c r="E28" i="7"/>
  <c r="F28" i="7"/>
  <c r="G28" i="7"/>
  <c r="H28" i="7"/>
  <c r="I28" i="7"/>
  <c r="J28" i="7"/>
  <c r="C29" i="7"/>
  <c r="D29" i="7"/>
  <c r="E29" i="7"/>
  <c r="F29" i="7"/>
  <c r="G29" i="7"/>
  <c r="H29" i="7"/>
  <c r="I29" i="7"/>
  <c r="J29" i="7"/>
  <c r="G31" i="7"/>
  <c r="H31" i="7"/>
  <c r="I31" i="7"/>
  <c r="C32" i="7"/>
  <c r="D32" i="7"/>
  <c r="E32" i="7"/>
  <c r="F32" i="7"/>
  <c r="G32" i="7"/>
  <c r="H32" i="7"/>
  <c r="I32" i="7"/>
  <c r="J32" i="7"/>
  <c r="C33" i="7"/>
  <c r="D33" i="7"/>
  <c r="E33" i="7"/>
  <c r="F33" i="7"/>
  <c r="G33" i="7"/>
  <c r="H33" i="7"/>
  <c r="I33" i="7"/>
  <c r="J33" i="7"/>
  <c r="C34" i="7"/>
  <c r="D34" i="7"/>
  <c r="E34" i="7"/>
  <c r="F34" i="7"/>
  <c r="G34" i="7"/>
  <c r="H34" i="7"/>
  <c r="I34" i="7"/>
  <c r="J34" i="7"/>
  <c r="C35" i="7"/>
  <c r="D35" i="7"/>
  <c r="E35" i="7"/>
  <c r="F35" i="7"/>
  <c r="G35" i="7"/>
  <c r="H35" i="7"/>
  <c r="I35" i="7"/>
  <c r="J35" i="7"/>
  <c r="B35" i="7"/>
  <c r="B34" i="7"/>
  <c r="B33" i="7"/>
  <c r="B32" i="7"/>
  <c r="B31" i="7"/>
  <c r="B29" i="7"/>
  <c r="B28" i="7"/>
  <c r="B27" i="7"/>
  <c r="B26" i="7"/>
  <c r="B25" i="7"/>
  <c r="B24" i="7"/>
  <c r="B23" i="7"/>
  <c r="B22" i="7"/>
  <c r="B20" i="7"/>
  <c r="K29" i="6"/>
  <c r="K28" i="6"/>
  <c r="K27" i="6"/>
  <c r="K26" i="6"/>
  <c r="K25" i="6"/>
  <c r="K24" i="6"/>
  <c r="K23" i="6"/>
  <c r="K22" i="6"/>
  <c r="K20" i="6"/>
  <c r="C20" i="6"/>
  <c r="D20" i="6"/>
  <c r="E20" i="6"/>
  <c r="F20" i="6"/>
  <c r="G20" i="6"/>
  <c r="H20" i="6"/>
  <c r="I20" i="6"/>
  <c r="J20" i="6"/>
  <c r="C22" i="6"/>
  <c r="D22" i="6"/>
  <c r="E22" i="6"/>
  <c r="F22" i="6"/>
  <c r="G22" i="6"/>
  <c r="H22" i="6"/>
  <c r="I22" i="6"/>
  <c r="J22" i="6"/>
  <c r="C23" i="6"/>
  <c r="D23" i="6"/>
  <c r="E23" i="6"/>
  <c r="F23" i="6"/>
  <c r="G23" i="6"/>
  <c r="H23" i="6"/>
  <c r="I23" i="6"/>
  <c r="J23" i="6"/>
  <c r="C24" i="6"/>
  <c r="D24" i="6"/>
  <c r="E24" i="6"/>
  <c r="F24" i="6"/>
  <c r="G24" i="6"/>
  <c r="H24" i="6"/>
  <c r="I24" i="6"/>
  <c r="J24" i="6"/>
  <c r="C25" i="6"/>
  <c r="D25" i="6"/>
  <c r="E25" i="6"/>
  <c r="F25" i="6"/>
  <c r="G25" i="6"/>
  <c r="H25" i="6"/>
  <c r="I25" i="6"/>
  <c r="J25" i="6"/>
  <c r="C26" i="6"/>
  <c r="D26" i="6"/>
  <c r="E26" i="6"/>
  <c r="F26" i="6"/>
  <c r="G26" i="6"/>
  <c r="H26" i="6"/>
  <c r="I26" i="6"/>
  <c r="J26" i="6"/>
  <c r="C27" i="6"/>
  <c r="D27" i="6"/>
  <c r="E27" i="6"/>
  <c r="F27" i="6"/>
  <c r="G27" i="6"/>
  <c r="H27" i="6"/>
  <c r="I27" i="6"/>
  <c r="J27" i="6"/>
  <c r="C28" i="6"/>
  <c r="D28" i="6"/>
  <c r="E28" i="6"/>
  <c r="F28" i="6"/>
  <c r="G28" i="6"/>
  <c r="H28" i="6"/>
  <c r="I28" i="6"/>
  <c r="J28" i="6"/>
  <c r="C29" i="6"/>
  <c r="D29" i="6"/>
  <c r="E29" i="6"/>
  <c r="F29" i="6"/>
  <c r="G29" i="6"/>
  <c r="H29" i="6"/>
  <c r="I29" i="6"/>
  <c r="J29" i="6"/>
  <c r="G31" i="6"/>
  <c r="H31" i="6"/>
  <c r="I31" i="6"/>
  <c r="C32" i="6"/>
  <c r="D32" i="6"/>
  <c r="E32" i="6"/>
  <c r="F32" i="6"/>
  <c r="G32" i="6"/>
  <c r="H32" i="6"/>
  <c r="I32" i="6"/>
  <c r="J32" i="6"/>
  <c r="C33" i="6"/>
  <c r="D33" i="6"/>
  <c r="E33" i="6"/>
  <c r="F33" i="6"/>
  <c r="G33" i="6"/>
  <c r="H33" i="6"/>
  <c r="I33" i="6"/>
  <c r="J33" i="6"/>
  <c r="C34" i="6"/>
  <c r="D34" i="6"/>
  <c r="E34" i="6"/>
  <c r="F34" i="6"/>
  <c r="G34" i="6"/>
  <c r="H34" i="6"/>
  <c r="I34" i="6"/>
  <c r="J34" i="6"/>
  <c r="C35" i="6"/>
  <c r="D35" i="6"/>
  <c r="E35" i="6"/>
  <c r="F35" i="6"/>
  <c r="G35" i="6"/>
  <c r="H35" i="6"/>
  <c r="I35" i="6"/>
  <c r="J35" i="6"/>
  <c r="B35" i="6"/>
  <c r="B34" i="6"/>
  <c r="B33" i="6"/>
  <c r="B32" i="6"/>
  <c r="B31" i="6"/>
  <c r="B29" i="6"/>
  <c r="B28" i="6"/>
  <c r="B27" i="6"/>
  <c r="B26" i="6"/>
  <c r="B25" i="6"/>
  <c r="B24" i="6"/>
  <c r="B23" i="6"/>
  <c r="B20" i="6"/>
  <c r="K29" i="5"/>
  <c r="K28" i="5"/>
  <c r="K27" i="5"/>
  <c r="K26" i="5"/>
  <c r="K25" i="5"/>
  <c r="K24" i="5"/>
  <c r="K23" i="5"/>
  <c r="K22" i="5"/>
  <c r="K20" i="5"/>
  <c r="C20" i="5"/>
  <c r="D20" i="5"/>
  <c r="E20" i="5"/>
  <c r="J20" i="5"/>
  <c r="C22" i="5"/>
  <c r="D22" i="5"/>
  <c r="E22" i="5"/>
  <c r="F22" i="5"/>
  <c r="G22" i="5"/>
  <c r="H22" i="5"/>
  <c r="I22" i="5"/>
  <c r="J22" i="5"/>
  <c r="C23" i="5"/>
  <c r="D23" i="5"/>
  <c r="E23" i="5"/>
  <c r="F23" i="5"/>
  <c r="G23" i="5"/>
  <c r="H23" i="5"/>
  <c r="I23" i="5"/>
  <c r="J23" i="5"/>
  <c r="C24" i="5"/>
  <c r="D24" i="5"/>
  <c r="E24" i="5"/>
  <c r="F24" i="5"/>
  <c r="G24" i="5"/>
  <c r="H24" i="5"/>
  <c r="I24" i="5"/>
  <c r="J24" i="5"/>
  <c r="C25" i="5"/>
  <c r="D25" i="5"/>
  <c r="E25" i="5"/>
  <c r="F25" i="5"/>
  <c r="G25" i="5"/>
  <c r="H25" i="5"/>
  <c r="I25" i="5"/>
  <c r="J25" i="5"/>
  <c r="C26" i="5"/>
  <c r="D26" i="5"/>
  <c r="E26" i="5"/>
  <c r="F26" i="5"/>
  <c r="G26" i="5"/>
  <c r="H26" i="5"/>
  <c r="I26" i="5"/>
  <c r="J26" i="5"/>
  <c r="C27" i="5"/>
  <c r="D27" i="5"/>
  <c r="E27" i="5"/>
  <c r="F27" i="5"/>
  <c r="G27" i="5"/>
  <c r="H27" i="5"/>
  <c r="I27" i="5"/>
  <c r="J27" i="5"/>
  <c r="C28" i="5"/>
  <c r="D28" i="5"/>
  <c r="E28" i="5"/>
  <c r="F28" i="5"/>
  <c r="G28" i="5"/>
  <c r="H28" i="5"/>
  <c r="I28" i="5"/>
  <c r="J28" i="5"/>
  <c r="C29" i="5"/>
  <c r="D29" i="5"/>
  <c r="E29" i="5"/>
  <c r="F29" i="5"/>
  <c r="G29" i="5"/>
  <c r="H29" i="5"/>
  <c r="I29" i="5"/>
  <c r="J29" i="5"/>
  <c r="G31" i="5"/>
  <c r="H31" i="5"/>
  <c r="I31" i="5"/>
  <c r="J31" i="5"/>
  <c r="C32" i="5"/>
  <c r="D32" i="5"/>
  <c r="E32" i="5"/>
  <c r="F32" i="5"/>
  <c r="G32" i="5"/>
  <c r="H32" i="5"/>
  <c r="I32" i="5"/>
  <c r="J32" i="5"/>
  <c r="C33" i="5"/>
  <c r="D33" i="5"/>
  <c r="E33" i="5"/>
  <c r="F33" i="5"/>
  <c r="G33" i="5"/>
  <c r="H33" i="5"/>
  <c r="I33" i="5"/>
  <c r="J33" i="5"/>
  <c r="C34" i="5"/>
  <c r="D34" i="5"/>
  <c r="E34" i="5"/>
  <c r="F34" i="5"/>
  <c r="G34" i="5"/>
  <c r="H34" i="5"/>
  <c r="I34" i="5"/>
  <c r="J34" i="5"/>
  <c r="C35" i="5"/>
  <c r="D35" i="5"/>
  <c r="E35" i="5"/>
  <c r="F35" i="5"/>
  <c r="G35" i="5"/>
  <c r="H35" i="5"/>
  <c r="I35" i="5"/>
  <c r="J35" i="5"/>
  <c r="B35" i="5"/>
  <c r="B34" i="5"/>
  <c r="B33" i="5"/>
  <c r="B32" i="5"/>
  <c r="B31" i="5"/>
  <c r="B29" i="5"/>
  <c r="B28" i="5"/>
  <c r="B27" i="5"/>
  <c r="B26" i="5"/>
  <c r="B25" i="5"/>
  <c r="B24" i="5"/>
  <c r="B23" i="5"/>
  <c r="B22" i="5"/>
  <c r="B20" i="5"/>
  <c r="K29" i="4"/>
  <c r="K28" i="4"/>
  <c r="K27" i="4"/>
  <c r="K26" i="4"/>
  <c r="K25" i="4"/>
  <c r="K24" i="4"/>
  <c r="K23" i="4"/>
  <c r="K22" i="4"/>
  <c r="K20" i="4"/>
  <c r="C20" i="4"/>
  <c r="D20" i="4"/>
  <c r="E20" i="4"/>
  <c r="F20" i="4"/>
  <c r="G20" i="4"/>
  <c r="H20" i="4"/>
  <c r="I20" i="4"/>
  <c r="J20" i="4"/>
  <c r="C22" i="4"/>
  <c r="D22" i="4"/>
  <c r="E22" i="4"/>
  <c r="F22" i="4"/>
  <c r="G22" i="4"/>
  <c r="H22" i="4"/>
  <c r="I22" i="4"/>
  <c r="J22" i="4"/>
  <c r="C23" i="4"/>
  <c r="D23" i="4"/>
  <c r="E23" i="4"/>
  <c r="F23" i="4"/>
  <c r="G23" i="4"/>
  <c r="H23" i="4"/>
  <c r="I23" i="4"/>
  <c r="J23" i="4"/>
  <c r="C24" i="4"/>
  <c r="D24" i="4"/>
  <c r="E24" i="4"/>
  <c r="F24" i="4"/>
  <c r="G24" i="4"/>
  <c r="H24" i="4"/>
  <c r="I24" i="4"/>
  <c r="J24" i="4"/>
  <c r="C25" i="4"/>
  <c r="D25" i="4"/>
  <c r="E25" i="4"/>
  <c r="F25" i="4"/>
  <c r="G25" i="4"/>
  <c r="H25" i="4"/>
  <c r="I25" i="4"/>
  <c r="J25" i="4"/>
  <c r="C26" i="4"/>
  <c r="D26" i="4"/>
  <c r="E26" i="4"/>
  <c r="F26" i="4"/>
  <c r="G26" i="4"/>
  <c r="H26" i="4"/>
  <c r="I26" i="4"/>
  <c r="J26" i="4"/>
  <c r="C27" i="4"/>
  <c r="D27" i="4"/>
  <c r="E27" i="4"/>
  <c r="F27" i="4"/>
  <c r="G27" i="4"/>
  <c r="H27" i="4"/>
  <c r="I27" i="4"/>
  <c r="J27" i="4"/>
  <c r="C28" i="4"/>
  <c r="D28" i="4"/>
  <c r="E28" i="4"/>
  <c r="F28" i="4"/>
  <c r="G28" i="4"/>
  <c r="H28" i="4"/>
  <c r="I28" i="4"/>
  <c r="J28" i="4"/>
  <c r="C29" i="4"/>
  <c r="D29" i="4"/>
  <c r="E29" i="4"/>
  <c r="F29" i="4"/>
  <c r="G29" i="4"/>
  <c r="H29" i="4"/>
  <c r="I29" i="4"/>
  <c r="J29" i="4"/>
  <c r="G31" i="4"/>
  <c r="H31" i="4"/>
  <c r="I31" i="4"/>
  <c r="J31" i="4"/>
  <c r="C32" i="4"/>
  <c r="D32" i="4"/>
  <c r="E32" i="4"/>
  <c r="F32" i="4"/>
  <c r="G32" i="4"/>
  <c r="H32" i="4"/>
  <c r="I32" i="4"/>
  <c r="J32" i="4"/>
  <c r="C33" i="4"/>
  <c r="D33" i="4"/>
  <c r="E33" i="4"/>
  <c r="F33" i="4"/>
  <c r="G33" i="4"/>
  <c r="H33" i="4"/>
  <c r="I33" i="4"/>
  <c r="J33" i="4"/>
  <c r="C34" i="4"/>
  <c r="D34" i="4"/>
  <c r="E34" i="4"/>
  <c r="F34" i="4"/>
  <c r="G34" i="4"/>
  <c r="H34" i="4"/>
  <c r="I34" i="4"/>
  <c r="J34" i="4"/>
  <c r="C35" i="4"/>
  <c r="D35" i="4"/>
  <c r="E35" i="4"/>
  <c r="F35" i="4"/>
  <c r="G35" i="4"/>
  <c r="H35" i="4"/>
  <c r="I35" i="4"/>
  <c r="J35" i="4"/>
  <c r="B35" i="4"/>
  <c r="B34" i="4"/>
  <c r="B33" i="4"/>
  <c r="B32" i="4"/>
  <c r="B31" i="4"/>
  <c r="B29" i="4"/>
  <c r="B28" i="4"/>
  <c r="B27" i="4"/>
  <c r="B26" i="4"/>
  <c r="B25" i="4"/>
  <c r="B24" i="4"/>
  <c r="B23" i="4"/>
  <c r="B22" i="4"/>
  <c r="B20" i="4"/>
  <c r="K36" i="6" l="1"/>
  <c r="B36" i="10"/>
  <c r="K29" i="3"/>
  <c r="K28" i="3"/>
  <c r="K27" i="3"/>
  <c r="K26" i="3"/>
  <c r="K25" i="3"/>
  <c r="K24" i="3"/>
  <c r="K23" i="3"/>
  <c r="K22" i="3"/>
  <c r="K20" i="3"/>
  <c r="C20" i="3"/>
  <c r="D20" i="3"/>
  <c r="E20" i="3"/>
  <c r="F20" i="3"/>
  <c r="G20" i="3"/>
  <c r="H20" i="3"/>
  <c r="I20" i="3"/>
  <c r="J20" i="3"/>
  <c r="C22" i="3"/>
  <c r="D22" i="3"/>
  <c r="E22" i="3"/>
  <c r="F22" i="3"/>
  <c r="G22" i="3"/>
  <c r="H22" i="3"/>
  <c r="I22" i="3"/>
  <c r="J22" i="3"/>
  <c r="C23" i="3"/>
  <c r="D23" i="3"/>
  <c r="E23" i="3"/>
  <c r="F23" i="3"/>
  <c r="G23" i="3"/>
  <c r="H23" i="3"/>
  <c r="I23" i="3"/>
  <c r="J23" i="3"/>
  <c r="C24" i="3"/>
  <c r="D24" i="3"/>
  <c r="E24" i="3"/>
  <c r="F24" i="3"/>
  <c r="G24" i="3"/>
  <c r="H24" i="3"/>
  <c r="I24" i="3"/>
  <c r="J24" i="3"/>
  <c r="C25" i="3"/>
  <c r="D25" i="3"/>
  <c r="E25" i="3"/>
  <c r="F25" i="3"/>
  <c r="G25" i="3"/>
  <c r="H25" i="3"/>
  <c r="I25" i="3"/>
  <c r="J25" i="3"/>
  <c r="C26" i="3"/>
  <c r="D26" i="3"/>
  <c r="E26" i="3"/>
  <c r="F26" i="3"/>
  <c r="G26" i="3"/>
  <c r="H26" i="3"/>
  <c r="I26" i="3"/>
  <c r="J26" i="3"/>
  <c r="C27" i="3"/>
  <c r="D27" i="3"/>
  <c r="E27" i="3"/>
  <c r="F27" i="3"/>
  <c r="G27" i="3"/>
  <c r="H27" i="3"/>
  <c r="I27" i="3"/>
  <c r="J27" i="3"/>
  <c r="C28" i="3"/>
  <c r="D28" i="3"/>
  <c r="E28" i="3"/>
  <c r="F28" i="3"/>
  <c r="G28" i="3"/>
  <c r="H28" i="3"/>
  <c r="I28" i="3"/>
  <c r="J28" i="3"/>
  <c r="C29" i="3"/>
  <c r="D29" i="3"/>
  <c r="E29" i="3"/>
  <c r="F29" i="3"/>
  <c r="G29" i="3"/>
  <c r="H29" i="3"/>
  <c r="I29" i="3"/>
  <c r="J29" i="3"/>
  <c r="G31" i="3"/>
  <c r="H31" i="3"/>
  <c r="I31" i="3"/>
  <c r="J31" i="3"/>
  <c r="C32" i="3"/>
  <c r="D32" i="3"/>
  <c r="E32" i="3"/>
  <c r="F32" i="3"/>
  <c r="G32" i="3"/>
  <c r="H32" i="3"/>
  <c r="I32" i="3"/>
  <c r="J32" i="3"/>
  <c r="C33" i="3"/>
  <c r="D33" i="3"/>
  <c r="E33" i="3"/>
  <c r="F33" i="3"/>
  <c r="G33" i="3"/>
  <c r="H33" i="3"/>
  <c r="I33" i="3"/>
  <c r="J33" i="3"/>
  <c r="C34" i="3"/>
  <c r="D34" i="3"/>
  <c r="E34" i="3"/>
  <c r="F34" i="3"/>
  <c r="G34" i="3"/>
  <c r="H34" i="3"/>
  <c r="I34" i="3"/>
  <c r="J34" i="3"/>
  <c r="C35" i="3"/>
  <c r="D35" i="3"/>
  <c r="E35" i="3"/>
  <c r="F35" i="3"/>
  <c r="G35" i="3"/>
  <c r="H35" i="3"/>
  <c r="I35" i="3"/>
  <c r="J35" i="3"/>
  <c r="B35" i="3"/>
  <c r="B34" i="3"/>
  <c r="B33" i="3"/>
  <c r="B32" i="3"/>
  <c r="B31" i="3"/>
  <c r="B29" i="3"/>
  <c r="B28" i="3"/>
  <c r="B27" i="3"/>
  <c r="B26" i="3"/>
  <c r="B25" i="3"/>
  <c r="B24" i="3"/>
  <c r="B23" i="3"/>
  <c r="B22" i="3"/>
  <c r="B20" i="3"/>
  <c r="K29" i="2"/>
  <c r="K28" i="2"/>
  <c r="K27" i="2"/>
  <c r="K26" i="2"/>
  <c r="K25" i="2"/>
  <c r="K24" i="2"/>
  <c r="K23" i="2"/>
  <c r="K22" i="2"/>
  <c r="K20" i="2"/>
  <c r="C20" i="2"/>
  <c r="D20" i="2"/>
  <c r="E20" i="2"/>
  <c r="F20" i="2"/>
  <c r="G20" i="2"/>
  <c r="H20" i="2"/>
  <c r="I20" i="2"/>
  <c r="J20" i="2"/>
  <c r="C22" i="2"/>
  <c r="D22" i="2"/>
  <c r="E22" i="2"/>
  <c r="F22" i="2"/>
  <c r="G22" i="2"/>
  <c r="H22" i="2"/>
  <c r="I22" i="2"/>
  <c r="J22" i="2"/>
  <c r="C23" i="2"/>
  <c r="D23" i="2"/>
  <c r="E23" i="2"/>
  <c r="F23" i="2"/>
  <c r="G23" i="2"/>
  <c r="H23" i="2"/>
  <c r="I23" i="2"/>
  <c r="J23" i="2"/>
  <c r="C24" i="2"/>
  <c r="D24" i="2"/>
  <c r="E24" i="2"/>
  <c r="F24" i="2"/>
  <c r="G24" i="2"/>
  <c r="H24" i="2"/>
  <c r="I24" i="2"/>
  <c r="J24" i="2"/>
  <c r="C25" i="2"/>
  <c r="D25" i="2"/>
  <c r="E25" i="2"/>
  <c r="F25" i="2"/>
  <c r="G25" i="2"/>
  <c r="H25" i="2"/>
  <c r="I25" i="2"/>
  <c r="J25" i="2"/>
  <c r="C26" i="2"/>
  <c r="D26" i="2"/>
  <c r="E26" i="2"/>
  <c r="F26" i="2"/>
  <c r="G26" i="2"/>
  <c r="H26" i="2"/>
  <c r="I26" i="2"/>
  <c r="J26" i="2"/>
  <c r="C27" i="2"/>
  <c r="D27" i="2"/>
  <c r="E27" i="2"/>
  <c r="F27" i="2"/>
  <c r="G27" i="2"/>
  <c r="H27" i="2"/>
  <c r="I27" i="2"/>
  <c r="J27" i="2"/>
  <c r="C28" i="2"/>
  <c r="D28" i="2"/>
  <c r="E28" i="2"/>
  <c r="F28" i="2"/>
  <c r="G28" i="2"/>
  <c r="H28" i="2"/>
  <c r="I28" i="2"/>
  <c r="J28" i="2"/>
  <c r="C29" i="2"/>
  <c r="D29" i="2"/>
  <c r="E29" i="2"/>
  <c r="F29" i="2"/>
  <c r="G29" i="2"/>
  <c r="H29" i="2"/>
  <c r="I29" i="2"/>
  <c r="J29" i="2"/>
  <c r="F31" i="2"/>
  <c r="G31" i="2"/>
  <c r="H31" i="2"/>
  <c r="I31" i="2"/>
  <c r="J31" i="2"/>
  <c r="C32" i="2"/>
  <c r="D32" i="2"/>
  <c r="E32" i="2"/>
  <c r="F32" i="2"/>
  <c r="G32" i="2"/>
  <c r="H32" i="2"/>
  <c r="I32" i="2"/>
  <c r="J32" i="2"/>
  <c r="C33" i="2"/>
  <c r="D33" i="2"/>
  <c r="E33" i="2"/>
  <c r="F33" i="2"/>
  <c r="G33" i="2"/>
  <c r="H33" i="2"/>
  <c r="I33" i="2"/>
  <c r="J33" i="2"/>
  <c r="C34" i="2"/>
  <c r="D34" i="2"/>
  <c r="E34" i="2"/>
  <c r="F34" i="2"/>
  <c r="G34" i="2"/>
  <c r="H34" i="2"/>
  <c r="I34" i="2"/>
  <c r="J34" i="2"/>
  <c r="C35" i="2"/>
  <c r="D35" i="2"/>
  <c r="E35" i="2"/>
  <c r="F35" i="2"/>
  <c r="G35" i="2"/>
  <c r="H35" i="2"/>
  <c r="I35" i="2"/>
  <c r="J35" i="2"/>
  <c r="B35" i="2"/>
  <c r="B34" i="2"/>
  <c r="B33" i="2"/>
  <c r="B32" i="2"/>
  <c r="B31" i="2"/>
  <c r="B29" i="2"/>
  <c r="B28" i="2"/>
  <c r="B27" i="2"/>
  <c r="B26" i="2"/>
  <c r="B25" i="2"/>
  <c r="B24" i="2"/>
  <c r="B23" i="2"/>
  <c r="B22" i="2"/>
  <c r="B20" i="2"/>
  <c r="K29" i="1"/>
  <c r="K28" i="1"/>
  <c r="K27" i="1"/>
  <c r="K26" i="1"/>
  <c r="K25" i="1"/>
  <c r="K24" i="1"/>
  <c r="K23" i="1"/>
  <c r="K22" i="1"/>
  <c r="K20" i="1"/>
  <c r="C35" i="1"/>
  <c r="D35" i="1"/>
  <c r="E35" i="1"/>
  <c r="F35" i="1"/>
  <c r="G35" i="1"/>
  <c r="H35" i="1"/>
  <c r="I35" i="1"/>
  <c r="J35" i="1"/>
  <c r="B35" i="1"/>
  <c r="C34" i="1"/>
  <c r="D34" i="1"/>
  <c r="E34" i="1"/>
  <c r="F34" i="1"/>
  <c r="G34" i="1"/>
  <c r="H34" i="1"/>
  <c r="I34" i="1"/>
  <c r="J34" i="1"/>
  <c r="B34" i="1"/>
  <c r="C33" i="1"/>
  <c r="D33" i="1"/>
  <c r="E33" i="1"/>
  <c r="F33" i="1"/>
  <c r="G33" i="1"/>
  <c r="H33" i="1"/>
  <c r="I33" i="1"/>
  <c r="J33" i="1"/>
  <c r="B33" i="1"/>
  <c r="C32" i="1"/>
  <c r="D32" i="1"/>
  <c r="E32" i="1"/>
  <c r="F32" i="1"/>
  <c r="G32" i="1"/>
  <c r="H32" i="1"/>
  <c r="I32" i="1"/>
  <c r="J32" i="1"/>
  <c r="B32" i="1"/>
  <c r="B31" i="1"/>
  <c r="C29" i="1"/>
  <c r="D29" i="1"/>
  <c r="F29" i="1"/>
  <c r="G29" i="1"/>
  <c r="H29" i="1"/>
  <c r="I29" i="1"/>
  <c r="J29" i="1"/>
  <c r="B29" i="1"/>
  <c r="C28" i="1"/>
  <c r="D28" i="1"/>
  <c r="E28" i="1"/>
  <c r="F28" i="1"/>
  <c r="G28" i="1"/>
  <c r="H28" i="1"/>
  <c r="I28" i="1"/>
  <c r="J28" i="1"/>
  <c r="B28" i="1"/>
  <c r="C27" i="1"/>
  <c r="D27" i="1"/>
  <c r="E27" i="1"/>
  <c r="F27" i="1"/>
  <c r="G27" i="1"/>
  <c r="H27" i="1"/>
  <c r="I27" i="1"/>
  <c r="J27" i="1"/>
  <c r="B27" i="1"/>
  <c r="C26" i="1"/>
  <c r="D26" i="1"/>
  <c r="E26" i="1"/>
  <c r="F26" i="1"/>
  <c r="G26" i="1"/>
  <c r="H26" i="1"/>
  <c r="I26" i="1"/>
  <c r="J26" i="1"/>
  <c r="C25" i="1"/>
  <c r="D25" i="1"/>
  <c r="E25" i="1"/>
  <c r="F25" i="1"/>
  <c r="G25" i="1"/>
  <c r="H25" i="1"/>
  <c r="I25" i="1"/>
  <c r="J25" i="1"/>
  <c r="B25" i="1"/>
  <c r="C24" i="1"/>
  <c r="D24" i="1"/>
  <c r="E24" i="1"/>
  <c r="F24" i="1"/>
  <c r="G24" i="1"/>
  <c r="H24" i="1"/>
  <c r="I24" i="1"/>
  <c r="J24" i="1"/>
  <c r="B24" i="1"/>
  <c r="B26" i="1"/>
  <c r="C23" i="1"/>
  <c r="D23" i="1"/>
  <c r="E23" i="1"/>
  <c r="F23" i="1"/>
  <c r="G23" i="1"/>
  <c r="H23" i="1"/>
  <c r="I23" i="1"/>
  <c r="J23" i="1"/>
  <c r="B23" i="1"/>
  <c r="C22" i="1"/>
  <c r="D22" i="1"/>
  <c r="E22" i="1"/>
  <c r="F22" i="1"/>
  <c r="G22" i="1"/>
  <c r="H22" i="1"/>
  <c r="I22" i="1"/>
  <c r="J22" i="1"/>
  <c r="B22" i="1"/>
  <c r="K36" i="10"/>
  <c r="C36" i="10"/>
  <c r="D36" i="10"/>
  <c r="E36" i="10"/>
  <c r="F36" i="10"/>
  <c r="G36" i="10"/>
  <c r="H36" i="10"/>
  <c r="I36" i="10"/>
  <c r="K36" i="9"/>
  <c r="L5" i="10"/>
  <c r="L6" i="10" s="1"/>
  <c r="L7" i="10" s="1"/>
  <c r="L8" i="10" s="1"/>
  <c r="L9" i="10" s="1"/>
  <c r="L10" i="10" s="1"/>
  <c r="L11" i="10" s="1"/>
  <c r="L12" i="10" s="1"/>
  <c r="L13" i="10" s="1"/>
  <c r="L14" i="10" s="1"/>
  <c r="L15" i="10" s="1"/>
  <c r="L16" i="10" s="1"/>
  <c r="L17" i="10" s="1"/>
  <c r="L18" i="10" s="1"/>
  <c r="L19" i="10" s="1"/>
  <c r="I36" i="9"/>
  <c r="H36" i="9"/>
  <c r="G36" i="9"/>
  <c r="F36" i="9"/>
  <c r="E36" i="9"/>
  <c r="D36" i="9"/>
  <c r="C36" i="9"/>
  <c r="B36" i="9"/>
  <c r="L5" i="9"/>
  <c r="L6" i="9" s="1"/>
  <c r="L7" i="9" s="1"/>
  <c r="L8" i="9" s="1"/>
  <c r="L9" i="9" s="1"/>
  <c r="L10" i="9" s="1"/>
  <c r="L11" i="9" s="1"/>
  <c r="L12" i="9" s="1"/>
  <c r="L13" i="9" s="1"/>
  <c r="L14" i="9" s="1"/>
  <c r="L15" i="9" s="1"/>
  <c r="L16" i="9" s="1"/>
  <c r="L17" i="9" s="1"/>
  <c r="L18" i="9" s="1"/>
  <c r="K36" i="8"/>
  <c r="I36" i="8"/>
  <c r="H36" i="8"/>
  <c r="G36" i="8"/>
  <c r="F36" i="8"/>
  <c r="E36" i="8"/>
  <c r="D36" i="8"/>
  <c r="C36" i="8"/>
  <c r="B36" i="8"/>
  <c r="B36" i="7"/>
  <c r="K36" i="7"/>
  <c r="I36" i="7"/>
  <c r="H36" i="7"/>
  <c r="G36" i="7"/>
  <c r="F36" i="7"/>
  <c r="E36" i="7"/>
  <c r="D36" i="7"/>
  <c r="C36" i="7"/>
  <c r="D36" i="6"/>
  <c r="E36" i="6"/>
  <c r="F36" i="6"/>
  <c r="G36" i="6"/>
  <c r="I36" i="6"/>
  <c r="K36" i="5"/>
  <c r="I36" i="5"/>
  <c r="H36" i="5"/>
  <c r="G36" i="5"/>
  <c r="F36" i="5"/>
  <c r="E36" i="5"/>
  <c r="D36" i="5"/>
  <c r="C36" i="5"/>
  <c r="B36" i="5"/>
  <c r="C20" i="1"/>
  <c r="D20" i="1"/>
  <c r="E20" i="1"/>
  <c r="F20" i="1"/>
  <c r="G20" i="1"/>
  <c r="H20" i="1"/>
  <c r="I20" i="1"/>
  <c r="J20" i="1"/>
  <c r="B20" i="1"/>
  <c r="B36" i="6"/>
  <c r="C36" i="4"/>
  <c r="D36" i="4"/>
  <c r="E36" i="4"/>
  <c r="F36" i="4"/>
  <c r="G36" i="4"/>
  <c r="H36" i="4"/>
  <c r="I36" i="4"/>
  <c r="L5" i="8"/>
  <c r="L6" i="8" s="1"/>
  <c r="L7" i="8" s="1"/>
  <c r="L8" i="8" s="1"/>
  <c r="L9" i="8" s="1"/>
  <c r="L10" i="8" s="1"/>
  <c r="L11" i="8" s="1"/>
  <c r="L12" i="8" s="1"/>
  <c r="L13" i="8" s="1"/>
  <c r="L14" i="8" s="1"/>
  <c r="L15" i="8" s="1"/>
  <c r="L16" i="8" s="1"/>
  <c r="L17" i="8" s="1"/>
  <c r="L18" i="8" s="1"/>
  <c r="L5" i="7"/>
  <c r="L6" i="7" s="1"/>
  <c r="L7" i="7" s="1"/>
  <c r="L8" i="7" s="1"/>
  <c r="L9" i="7" s="1"/>
  <c r="L10" i="7" s="1"/>
  <c r="L11" i="7" s="1"/>
  <c r="L12" i="7" s="1"/>
  <c r="L13" i="7" s="1"/>
  <c r="L14" i="7" s="1"/>
  <c r="L15" i="7" s="1"/>
  <c r="L16" i="7" s="1"/>
  <c r="L17" i="7" s="1"/>
  <c r="L18" i="7" s="1"/>
  <c r="L5" i="6"/>
  <c r="L6" i="6" s="1"/>
  <c r="L7" i="6" s="1"/>
  <c r="L8" i="6" s="1"/>
  <c r="L9" i="6" s="1"/>
  <c r="L10" i="6" s="1"/>
  <c r="L11" i="6" s="1"/>
  <c r="L12" i="6" s="1"/>
  <c r="L13" i="6" s="1"/>
  <c r="L14" i="6" s="1"/>
  <c r="L15" i="6" s="1"/>
  <c r="L16" i="6" s="1"/>
  <c r="L17" i="6" s="1"/>
  <c r="L18" i="6" s="1"/>
  <c r="L5" i="5"/>
  <c r="L6" i="5" s="1"/>
  <c r="L7" i="5" s="1"/>
  <c r="L8" i="5" s="1"/>
  <c r="L9" i="5" s="1"/>
  <c r="L10" i="5" s="1"/>
  <c r="L11" i="5" s="1"/>
  <c r="L12" i="5" s="1"/>
  <c r="L13" i="5" s="1"/>
  <c r="L14" i="5" s="1"/>
  <c r="L15" i="5" s="1"/>
  <c r="L16" i="5" s="1"/>
  <c r="L17" i="5" s="1"/>
  <c r="L18" i="5" s="1"/>
  <c r="L5" i="4"/>
  <c r="L6" i="4" s="1"/>
  <c r="L7" i="4" s="1"/>
  <c r="L8" i="4" s="1"/>
  <c r="L9" i="4" s="1"/>
  <c r="L10" i="4" s="1"/>
  <c r="L11" i="4" s="1"/>
  <c r="L12" i="4" s="1"/>
  <c r="L13" i="4" s="1"/>
  <c r="L14" i="4" s="1"/>
  <c r="L15" i="4" s="1"/>
  <c r="L16" i="4" s="1"/>
  <c r="L17" i="4" s="1"/>
  <c r="L18" i="4" s="1"/>
  <c r="L5" i="3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5" i="2"/>
  <c r="L6" i="2" s="1"/>
  <c r="L7" i="2" s="1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6" i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C36" i="3" l="1"/>
  <c r="D36" i="2"/>
  <c r="D36" i="3"/>
  <c r="E36" i="2"/>
  <c r="I36" i="2"/>
  <c r="H36" i="2"/>
  <c r="G36" i="2"/>
  <c r="G36" i="3"/>
  <c r="F36" i="2"/>
  <c r="F36" i="3"/>
  <c r="E36" i="3"/>
  <c r="I36" i="3"/>
  <c r="H36" i="3"/>
  <c r="C36" i="2"/>
  <c r="B36" i="4"/>
  <c r="G36" i="1"/>
  <c r="C36" i="6"/>
  <c r="C36" i="1"/>
  <c r="H36" i="1"/>
  <c r="F36" i="1"/>
  <c r="H36" i="6"/>
  <c r="D36" i="1"/>
  <c r="I36" i="1"/>
  <c r="E36" i="1"/>
  <c r="B36" i="3"/>
  <c r="K36" i="2"/>
  <c r="B36" i="2"/>
  <c r="K36" i="1"/>
  <c r="B36" i="1"/>
  <c r="L23" i="10"/>
  <c r="L24" i="10" s="1"/>
  <c r="L25" i="10" s="1"/>
  <c r="L26" i="10" s="1"/>
  <c r="L27" i="10" s="1"/>
  <c r="L28" i="10" s="1"/>
  <c r="L29" i="10" s="1"/>
  <c r="L30" i="10" s="1"/>
  <c r="L31" i="10" s="1"/>
  <c r="L32" i="10" s="1"/>
  <c r="L33" i="10" s="1"/>
  <c r="L34" i="10" s="1"/>
  <c r="L35" i="10" s="1"/>
  <c r="J36" i="10"/>
  <c r="L36" i="10" s="1"/>
  <c r="L19" i="9"/>
  <c r="L20" i="9" s="1"/>
  <c r="L21" i="9" s="1"/>
  <c r="L22" i="9" s="1"/>
  <c r="L23" i="9" s="1"/>
  <c r="L24" i="9" s="1"/>
  <c r="L25" i="9" s="1"/>
  <c r="L26" i="9" s="1"/>
  <c r="L27" i="9" s="1"/>
  <c r="L28" i="9" s="1"/>
  <c r="L29" i="9" s="1"/>
  <c r="L30" i="9" s="1"/>
  <c r="L31" i="9" s="1"/>
  <c r="L32" i="9" s="1"/>
  <c r="L33" i="9" s="1"/>
  <c r="L34" i="9" s="1"/>
  <c r="L35" i="9" s="1"/>
  <c r="J36" i="9"/>
  <c r="L36" i="9" s="1"/>
  <c r="K36" i="4"/>
  <c r="K36" i="3"/>
  <c r="J36" i="8"/>
  <c r="L36" i="8" s="1"/>
  <c r="L19" i="8"/>
  <c r="L20" i="8" s="1"/>
  <c r="L21" i="8" s="1"/>
  <c r="L22" i="8" s="1"/>
  <c r="L23" i="8" s="1"/>
  <c r="L24" i="8" s="1"/>
  <c r="L25" i="8" s="1"/>
  <c r="L26" i="8" s="1"/>
  <c r="L27" i="8" s="1"/>
  <c r="L28" i="8" s="1"/>
  <c r="L29" i="8" s="1"/>
  <c r="L30" i="8" s="1"/>
  <c r="L31" i="8" s="1"/>
  <c r="L32" i="8" s="1"/>
  <c r="L33" i="8" s="1"/>
  <c r="L34" i="8" s="1"/>
  <c r="L35" i="8" s="1"/>
  <c r="J36" i="7"/>
  <c r="L36" i="7" s="1"/>
  <c r="L19" i="7"/>
  <c r="L20" i="7" s="1"/>
  <c r="L21" i="7" s="1"/>
  <c r="L22" i="7" s="1"/>
  <c r="L23" i="7" s="1"/>
  <c r="L24" i="7" s="1"/>
  <c r="L25" i="7" s="1"/>
  <c r="L26" i="7" s="1"/>
  <c r="L27" i="7" s="1"/>
  <c r="L28" i="7" s="1"/>
  <c r="L29" i="7" s="1"/>
  <c r="L30" i="7" s="1"/>
  <c r="L31" i="7" s="1"/>
  <c r="L32" i="7" s="1"/>
  <c r="L33" i="7" s="1"/>
  <c r="L34" i="7" s="1"/>
  <c r="L35" i="7" s="1"/>
  <c r="J36" i="6"/>
  <c r="L19" i="6"/>
  <c r="L20" i="6" s="1"/>
  <c r="L21" i="6" s="1"/>
  <c r="L22" i="6" s="1"/>
  <c r="L23" i="6" s="1"/>
  <c r="L24" i="6" s="1"/>
  <c r="L25" i="6" s="1"/>
  <c r="L26" i="6" s="1"/>
  <c r="L27" i="6" s="1"/>
  <c r="L28" i="6" s="1"/>
  <c r="L29" i="6" s="1"/>
  <c r="L30" i="6" s="1"/>
  <c r="L31" i="6" s="1"/>
  <c r="L32" i="6" s="1"/>
  <c r="L33" i="6" s="1"/>
  <c r="L34" i="6" s="1"/>
  <c r="L35" i="6" s="1"/>
  <c r="L19" i="5"/>
  <c r="L20" i="5" s="1"/>
  <c r="L21" i="5" s="1"/>
  <c r="L22" i="5" s="1"/>
  <c r="L23" i="5" s="1"/>
  <c r="L24" i="5" s="1"/>
  <c r="L25" i="5" s="1"/>
  <c r="L26" i="5" s="1"/>
  <c r="L27" i="5" s="1"/>
  <c r="L28" i="5" s="1"/>
  <c r="L29" i="5" s="1"/>
  <c r="L30" i="5" s="1"/>
  <c r="L31" i="5" s="1"/>
  <c r="L32" i="5" s="1"/>
  <c r="L33" i="5" s="1"/>
  <c r="L34" i="5" s="1"/>
  <c r="L35" i="5" s="1"/>
  <c r="J36" i="5"/>
  <c r="L36" i="5" s="1"/>
  <c r="J36" i="4"/>
  <c r="L19" i="4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L34" i="4" s="1"/>
  <c r="L35" i="4" s="1"/>
  <c r="J36" i="3"/>
  <c r="L19" i="3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J36" i="2"/>
  <c r="L19" i="2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4" l="1"/>
  <c r="L36" i="6"/>
  <c r="L36" i="2"/>
  <c r="L36" i="3"/>
  <c r="J36" i="1"/>
  <c r="L36" i="1" s="1"/>
  <c r="L19" i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</calcChain>
</file>

<file path=xl/sharedStrings.xml><?xml version="1.0" encoding="utf-8"?>
<sst xmlns="http://schemas.openxmlformats.org/spreadsheetml/2006/main" count="140" uniqueCount="21">
  <si>
    <t>TYPE DE PAIN</t>
  </si>
  <si>
    <t>PJ</t>
  </si>
  <si>
    <t>S.VIDE</t>
  </si>
  <si>
    <t>FACTURE</t>
  </si>
  <si>
    <t>160 GL</t>
  </si>
  <si>
    <t>160 GC</t>
  </si>
  <si>
    <t>EXTRA</t>
  </si>
  <si>
    <t>REPORT SOLDE</t>
  </si>
  <si>
    <t>VERSEMENT</t>
  </si>
  <si>
    <t>SOLDE</t>
  </si>
  <si>
    <t>DATE</t>
  </si>
  <si>
    <t>ETAT MENSUEL DE LIVRAISON</t>
  </si>
  <si>
    <t>DOUGLAS</t>
  </si>
  <si>
    <t>TOTAL</t>
  </si>
  <si>
    <t>MOUSTAPHA</t>
  </si>
  <si>
    <t>TEDONFO</t>
  </si>
  <si>
    <t>OUMAROU</t>
  </si>
  <si>
    <t>RODRIGUE</t>
  </si>
  <si>
    <t>ROMEO</t>
  </si>
  <si>
    <t>SALAS</t>
  </si>
  <si>
    <t>TCHOUPO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</si>
</sst>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9">
    <xf numFmtId="0" fontId="0" fillId="0" borderId="0" xfId="0"/>
    <xf numFmtId="164" fontId="2" fillId="0" borderId="1" xfId="1" applyNumberFormat="1" applyFont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 vertical="center" wrapText="1"/>
    </xf>
    <xf numFmtId="164" fontId="0" fillId="0" borderId="0" xfId="1" applyNumberFormat="1" applyFont="1"/>
    <xf numFmtId="0" fontId="2" fillId="0" borderId="0" xfId="0" applyFont="1"/>
    <xf numFmtId="164" fontId="0" fillId="0" borderId="1" xfId="1" applyNumberFormat="1" applyFont="1" applyBorder="1"/>
    <xf numFmtId="0" fontId="4" fillId="0" borderId="1" xfId="0" applyFont="1" applyBorder="1" applyAlignment="1">
      <alignment horizontal="center" vertical="center" wrapText="1"/>
    </xf>
    <xf numFmtId="14" fontId="0" fillId="0" borderId="1" xfId="0" applyNumberFormat="1" applyBorder="1"/>
    <xf numFmtId="0" fontId="2" fillId="0" borderId="1" xfId="0" applyFont="1" applyBorder="1"/>
    <xf numFmtId="164" fontId="2" fillId="0" borderId="1" xfId="1" applyNumberFormat="1" applyFont="1" applyBorder="1"/>
    <xf numFmtId="17" fontId="2" fillId="0" borderId="1" xfId="1" applyNumberFormat="1" applyFont="1" applyBorder="1"/>
    <xf numFmtId="164" fontId="3" fillId="0" borderId="1" xfId="1" applyNumberFormat="1" applyFont="1" applyBorder="1"/>
    <xf numFmtId="164" fontId="5" fillId="0" borderId="1" xfId="1" applyNumberFormat="1" applyFont="1" applyBorder="1"/>
    <xf numFmtId="164" fontId="5" fillId="0" borderId="0" xfId="1" applyNumberFormat="1" applyFont="1"/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41" fontId="7" fillId="0" borderId="1" xfId="2" applyFont="1" applyBorder="1"/>
    <xf numFmtId="41" fontId="6" fillId="0" borderId="1" xfId="2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1" applyNumberFormat="1" applyFont="1" applyBorder="1" applyAlignment="1">
      <alignment horizontal="center" vertical="center" wrapText="1"/>
    </xf>
    <xf numFmtId="164" fontId="4" fillId="0" borderId="1" xfId="1" applyNumberFormat="1" applyFont="1" applyBorder="1" applyAlignment="1">
      <alignment horizontal="center" vertical="center" wrapText="1"/>
    </xf>
    <xf numFmtId="14" fontId="8" fillId="0" borderId="1" xfId="0" applyNumberFormat="1" applyFont="1" applyBorder="1"/>
    <xf numFmtId="164" fontId="8" fillId="0" borderId="1" xfId="1" applyNumberFormat="1" applyFont="1" applyBorder="1"/>
    <xf numFmtId="0" fontId="4" fillId="0" borderId="1" xfId="0" applyFont="1" applyBorder="1"/>
    <xf numFmtId="164" fontId="4" fillId="0" borderId="1" xfId="1" applyNumberFormat="1" applyFont="1" applyBorder="1"/>
  </cellXfs>
  <cellStyles count="3">
    <cellStyle name="Milliers" xfId="1" builtinId="3"/>
    <cellStyle name="Milliers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externalLink" Target="externalLinks/externalLink16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14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1507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1607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17072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180726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190726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200726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210726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220726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230726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240726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250726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260726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270726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280726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290726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300726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3107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>
        <row r="5">
          <cell r="B5"/>
          <cell r="C5">
            <v>940</v>
          </cell>
          <cell r="D5">
            <v>500</v>
          </cell>
          <cell r="E5">
            <v>3</v>
          </cell>
          <cell r="F5"/>
          <cell r="G5"/>
          <cell r="H5"/>
          <cell r="I5"/>
          <cell r="J5">
            <v>125680</v>
          </cell>
        </row>
      </sheetData>
      <sheetData sheetId="1">
        <row r="4">
          <cell r="B4"/>
          <cell r="C4">
            <v>270</v>
          </cell>
          <cell r="D4">
            <v>313</v>
          </cell>
          <cell r="E4">
            <v>3</v>
          </cell>
          <cell r="F4"/>
          <cell r="G4"/>
          <cell r="H4"/>
          <cell r="I4"/>
          <cell r="J4">
            <v>52030</v>
          </cell>
          <cell r="N4">
            <v>52000</v>
          </cell>
        </row>
        <row r="5">
          <cell r="B5"/>
          <cell r="C5">
            <v>370</v>
          </cell>
          <cell r="D5">
            <v>50</v>
          </cell>
          <cell r="E5"/>
          <cell r="F5"/>
          <cell r="G5"/>
          <cell r="H5"/>
          <cell r="I5"/>
          <cell r="J5">
            <v>32750</v>
          </cell>
          <cell r="N5">
            <v>64000</v>
          </cell>
        </row>
        <row r="6">
          <cell r="B6"/>
          <cell r="C6">
            <v>1150</v>
          </cell>
          <cell r="D6">
            <v>400</v>
          </cell>
          <cell r="E6">
            <v>5</v>
          </cell>
          <cell r="F6"/>
          <cell r="G6"/>
          <cell r="H6"/>
          <cell r="I6"/>
          <cell r="J6">
            <v>127050</v>
          </cell>
          <cell r="N6"/>
        </row>
        <row r="7">
          <cell r="B7"/>
          <cell r="C7">
            <v>510</v>
          </cell>
          <cell r="D7">
            <v>650</v>
          </cell>
          <cell r="E7">
            <v>5</v>
          </cell>
          <cell r="F7"/>
          <cell r="G7"/>
          <cell r="H7"/>
          <cell r="I7"/>
          <cell r="J7">
            <v>104050</v>
          </cell>
          <cell r="N7">
            <v>104050</v>
          </cell>
        </row>
        <row r="8">
          <cell r="B8"/>
          <cell r="C8">
            <v>630</v>
          </cell>
          <cell r="D8">
            <v>750</v>
          </cell>
          <cell r="E8"/>
          <cell r="F8"/>
          <cell r="G8"/>
          <cell r="H8"/>
          <cell r="I8"/>
          <cell r="J8">
            <v>122250</v>
          </cell>
          <cell r="N8">
            <v>122000</v>
          </cell>
        </row>
        <row r="9">
          <cell r="B9">
            <v>100</v>
          </cell>
          <cell r="C9">
            <v>780</v>
          </cell>
          <cell r="D9">
            <v>680</v>
          </cell>
          <cell r="E9">
            <v>10</v>
          </cell>
          <cell r="F9"/>
          <cell r="G9"/>
          <cell r="H9"/>
          <cell r="I9"/>
          <cell r="J9">
            <v>132100</v>
          </cell>
          <cell r="N9">
            <v>64000</v>
          </cell>
        </row>
        <row r="10">
          <cell r="B10"/>
          <cell r="C10">
            <v>710</v>
          </cell>
          <cell r="D10">
            <v>600</v>
          </cell>
          <cell r="E10">
            <v>25</v>
          </cell>
          <cell r="F10"/>
          <cell r="G10"/>
          <cell r="H10"/>
          <cell r="I10"/>
          <cell r="J10">
            <v>117250</v>
          </cell>
          <cell r="N10">
            <v>122750</v>
          </cell>
        </row>
        <row r="11">
          <cell r="B11"/>
          <cell r="C11">
            <v>530</v>
          </cell>
          <cell r="D11">
            <v>665</v>
          </cell>
          <cell r="E11">
            <v>19</v>
          </cell>
          <cell r="F11"/>
          <cell r="G11"/>
          <cell r="H11"/>
          <cell r="I11"/>
          <cell r="J11">
            <v>109290</v>
          </cell>
          <cell r="N11">
            <v>106500</v>
          </cell>
        </row>
        <row r="12">
          <cell r="B12"/>
          <cell r="C12"/>
          <cell r="D12"/>
          <cell r="E12"/>
          <cell r="F12"/>
          <cell r="G12"/>
          <cell r="H12"/>
          <cell r="I12"/>
          <cell r="J12">
            <v>0</v>
          </cell>
          <cell r="N12"/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ENCE CARREF"/>
      <sheetName val="LIVREUR EXTERNE"/>
      <sheetName val="LIVREUR INTERNE ETC"/>
      <sheetName val="Feuil1"/>
    </sheetNames>
    <sheetDataSet>
      <sheetData sheetId="0"/>
      <sheetData sheetId="1">
        <row r="4">
          <cell r="B4"/>
          <cell r="C4">
            <v>1226</v>
          </cell>
          <cell r="D4">
            <v>710</v>
          </cell>
          <cell r="E4">
            <v>3</v>
          </cell>
          <cell r="F4"/>
          <cell r="G4"/>
          <cell r="H4"/>
          <cell r="I4"/>
          <cell r="J4">
            <v>163430</v>
          </cell>
          <cell r="N4">
            <v>115000</v>
          </cell>
        </row>
        <row r="5">
          <cell r="B5"/>
          <cell r="C5">
            <v>360</v>
          </cell>
          <cell r="D5">
            <v>50</v>
          </cell>
          <cell r="E5"/>
          <cell r="F5"/>
          <cell r="G5"/>
          <cell r="H5"/>
          <cell r="I5"/>
          <cell r="J5">
            <v>32000</v>
          </cell>
          <cell r="N5"/>
        </row>
        <row r="6">
          <cell r="B6"/>
          <cell r="C6">
            <v>1110</v>
          </cell>
          <cell r="D6">
            <v>400</v>
          </cell>
          <cell r="E6">
            <v>5</v>
          </cell>
          <cell r="F6"/>
          <cell r="G6"/>
          <cell r="H6"/>
          <cell r="I6"/>
          <cell r="J6">
            <v>124050</v>
          </cell>
          <cell r="N6"/>
        </row>
        <row r="7">
          <cell r="B7"/>
          <cell r="C7">
            <v>510</v>
          </cell>
          <cell r="D7">
            <v>670</v>
          </cell>
          <cell r="E7">
            <v>5</v>
          </cell>
          <cell r="F7"/>
          <cell r="G7"/>
          <cell r="H7"/>
          <cell r="I7"/>
          <cell r="J7">
            <v>106050</v>
          </cell>
          <cell r="N7">
            <v>106050</v>
          </cell>
        </row>
        <row r="8">
          <cell r="B8"/>
          <cell r="C8">
            <v>640</v>
          </cell>
          <cell r="D8">
            <v>700</v>
          </cell>
          <cell r="E8">
            <v>5</v>
          </cell>
          <cell r="F8"/>
          <cell r="G8"/>
          <cell r="H8"/>
          <cell r="I8"/>
          <cell r="J8">
            <v>118800</v>
          </cell>
          <cell r="N8">
            <v>119700</v>
          </cell>
        </row>
        <row r="9">
          <cell r="B9">
            <v>150</v>
          </cell>
          <cell r="C9">
            <v>785</v>
          </cell>
          <cell r="D9">
            <v>615</v>
          </cell>
          <cell r="E9">
            <v>10</v>
          </cell>
          <cell r="F9"/>
          <cell r="G9"/>
          <cell r="H9"/>
          <cell r="I9"/>
          <cell r="J9">
            <v>127975</v>
          </cell>
          <cell r="N9">
            <v>68000</v>
          </cell>
        </row>
        <row r="10">
          <cell r="B10"/>
          <cell r="C10">
            <v>700</v>
          </cell>
          <cell r="D10">
            <v>625</v>
          </cell>
          <cell r="E10">
            <v>28</v>
          </cell>
          <cell r="F10"/>
          <cell r="G10"/>
          <cell r="H10"/>
          <cell r="I10">
            <v>10</v>
          </cell>
          <cell r="J10">
            <v>120480</v>
          </cell>
          <cell r="N10">
            <v>119500</v>
          </cell>
        </row>
        <row r="11">
          <cell r="B11"/>
          <cell r="C11">
            <v>490</v>
          </cell>
          <cell r="D11">
            <v>640</v>
          </cell>
          <cell r="E11">
            <v>13</v>
          </cell>
          <cell r="F11"/>
          <cell r="G11"/>
          <cell r="H11"/>
          <cell r="I11"/>
          <cell r="J11">
            <v>102830</v>
          </cell>
          <cell r="N11">
            <v>113000</v>
          </cell>
        </row>
        <row r="12">
          <cell r="B12"/>
          <cell r="C12">
            <v>125</v>
          </cell>
          <cell r="D12">
            <v>300</v>
          </cell>
          <cell r="E12">
            <v>27</v>
          </cell>
          <cell r="F12"/>
          <cell r="G12"/>
          <cell r="H12"/>
          <cell r="I12"/>
          <cell r="J12">
            <v>43695</v>
          </cell>
          <cell r="N12">
            <v>42000</v>
          </cell>
        </row>
        <row r="13">
          <cell r="B13"/>
          <cell r="C13">
            <v>920</v>
          </cell>
          <cell r="D13">
            <v>500</v>
          </cell>
          <cell r="E13">
            <v>3</v>
          </cell>
          <cell r="F13"/>
          <cell r="G13"/>
          <cell r="H13"/>
          <cell r="I13"/>
          <cell r="J13">
            <v>119480</v>
          </cell>
          <cell r="N13">
            <v>300000</v>
          </cell>
        </row>
      </sheetData>
      <sheetData sheetId="2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/>
      <sheetData sheetId="1">
        <row r="4">
          <cell r="B4"/>
          <cell r="C4">
            <v>1280</v>
          </cell>
          <cell r="D4">
            <v>773</v>
          </cell>
          <cell r="E4"/>
          <cell r="F4"/>
          <cell r="G4"/>
          <cell r="H4"/>
          <cell r="I4"/>
          <cell r="J4">
            <v>173300</v>
          </cell>
          <cell r="N4">
            <v>85000</v>
          </cell>
        </row>
        <row r="5">
          <cell r="B5"/>
          <cell r="C5">
            <v>370</v>
          </cell>
          <cell r="D5">
            <v>50</v>
          </cell>
          <cell r="E5"/>
          <cell r="F5"/>
          <cell r="G5"/>
          <cell r="H5"/>
          <cell r="I5"/>
          <cell r="J5">
            <v>32750</v>
          </cell>
          <cell r="N5">
            <v>62000</v>
          </cell>
        </row>
        <row r="6">
          <cell r="B6"/>
          <cell r="C6">
            <v>1090</v>
          </cell>
          <cell r="D6">
            <v>400</v>
          </cell>
          <cell r="E6">
            <v>5</v>
          </cell>
          <cell r="F6"/>
          <cell r="G6"/>
          <cell r="H6"/>
          <cell r="I6"/>
          <cell r="J6">
            <v>122550</v>
          </cell>
          <cell r="N6">
            <v>400000</v>
          </cell>
        </row>
        <row r="7">
          <cell r="B7"/>
          <cell r="C7">
            <v>670</v>
          </cell>
          <cell r="D7">
            <v>625</v>
          </cell>
          <cell r="E7">
            <v>5</v>
          </cell>
          <cell r="F7"/>
          <cell r="G7"/>
          <cell r="H7"/>
          <cell r="I7"/>
          <cell r="J7">
            <v>113550</v>
          </cell>
          <cell r="N7">
            <v>113550</v>
          </cell>
        </row>
        <row r="8">
          <cell r="B8"/>
          <cell r="C8">
            <v>700</v>
          </cell>
          <cell r="D8">
            <v>775</v>
          </cell>
          <cell r="E8">
            <v>5</v>
          </cell>
          <cell r="F8"/>
          <cell r="G8"/>
          <cell r="H8"/>
          <cell r="I8"/>
          <cell r="J8">
            <v>130800</v>
          </cell>
          <cell r="N8"/>
        </row>
        <row r="9">
          <cell r="B9">
            <v>150</v>
          </cell>
          <cell r="C9">
            <v>800</v>
          </cell>
          <cell r="D9">
            <v>600</v>
          </cell>
          <cell r="E9"/>
          <cell r="F9"/>
          <cell r="G9"/>
          <cell r="H9"/>
          <cell r="I9"/>
          <cell r="J9">
            <v>126000</v>
          </cell>
          <cell r="N9">
            <v>189000</v>
          </cell>
        </row>
        <row r="10">
          <cell r="B10"/>
          <cell r="C10">
            <v>660</v>
          </cell>
          <cell r="D10">
            <v>640</v>
          </cell>
          <cell r="E10">
            <v>28</v>
          </cell>
          <cell r="F10"/>
          <cell r="G10"/>
          <cell r="H10"/>
          <cell r="I10"/>
          <cell r="J10">
            <v>117980</v>
          </cell>
          <cell r="N10">
            <v>110000</v>
          </cell>
        </row>
        <row r="11">
          <cell r="B11"/>
          <cell r="C11">
            <v>415</v>
          </cell>
          <cell r="D11">
            <v>600</v>
          </cell>
          <cell r="E11">
            <v>18</v>
          </cell>
          <cell r="F11"/>
          <cell r="G11"/>
          <cell r="H11"/>
          <cell r="I11"/>
          <cell r="J11">
            <v>94005</v>
          </cell>
          <cell r="N11">
            <v>103000</v>
          </cell>
        </row>
        <row r="12">
          <cell r="B12"/>
          <cell r="C12">
            <v>110</v>
          </cell>
          <cell r="D12">
            <v>290</v>
          </cell>
          <cell r="E12">
            <v>25</v>
          </cell>
          <cell r="F12"/>
          <cell r="G12"/>
          <cell r="H12"/>
          <cell r="I12"/>
          <cell r="J12">
            <v>41250</v>
          </cell>
          <cell r="N12">
            <v>43000</v>
          </cell>
        </row>
        <row r="13">
          <cell r="B13">
            <v>637.5</v>
          </cell>
          <cell r="C13">
            <v>355</v>
          </cell>
          <cell r="D13">
            <v>450</v>
          </cell>
          <cell r="E13">
            <v>3</v>
          </cell>
          <cell r="F13"/>
          <cell r="G13"/>
          <cell r="H13"/>
          <cell r="I13"/>
          <cell r="J13">
            <v>97605</v>
          </cell>
          <cell r="N13"/>
        </row>
      </sheetData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/>
      <sheetData sheetId="1">
        <row r="4">
          <cell r="B4"/>
          <cell r="C4">
            <v>260</v>
          </cell>
          <cell r="D4">
            <v>350</v>
          </cell>
          <cell r="E4">
            <v>3</v>
          </cell>
          <cell r="F4"/>
          <cell r="G4"/>
          <cell r="H4"/>
          <cell r="I4"/>
          <cell r="J4">
            <v>54980</v>
          </cell>
          <cell r="N4">
            <v>120000</v>
          </cell>
        </row>
        <row r="5">
          <cell r="B5"/>
          <cell r="C5">
            <v>420</v>
          </cell>
          <cell r="D5">
            <v>50</v>
          </cell>
          <cell r="E5">
            <v>0</v>
          </cell>
          <cell r="F5"/>
          <cell r="G5"/>
          <cell r="H5"/>
          <cell r="I5"/>
          <cell r="J5">
            <v>36500</v>
          </cell>
          <cell r="N5"/>
        </row>
        <row r="6">
          <cell r="B6"/>
          <cell r="C6">
            <v>1025</v>
          </cell>
          <cell r="D6">
            <v>500</v>
          </cell>
          <cell r="E6">
            <v>5</v>
          </cell>
          <cell r="F6"/>
          <cell r="G6"/>
          <cell r="H6"/>
          <cell r="I6"/>
          <cell r="J6">
            <v>127675</v>
          </cell>
          <cell r="N6">
            <v>127625</v>
          </cell>
        </row>
        <row r="7">
          <cell r="B7"/>
          <cell r="C7">
            <v>700</v>
          </cell>
          <cell r="D7">
            <v>750</v>
          </cell>
          <cell r="E7">
            <v>5</v>
          </cell>
          <cell r="F7"/>
          <cell r="G7"/>
          <cell r="H7"/>
          <cell r="I7"/>
          <cell r="J7">
            <v>128300</v>
          </cell>
          <cell r="N7"/>
        </row>
        <row r="8">
          <cell r="B8"/>
          <cell r="C8">
            <v>600</v>
          </cell>
          <cell r="D8">
            <v>750</v>
          </cell>
          <cell r="E8">
            <v>5</v>
          </cell>
          <cell r="F8"/>
          <cell r="G8"/>
          <cell r="H8"/>
          <cell r="I8"/>
          <cell r="J8">
            <v>120800</v>
          </cell>
          <cell r="N8"/>
        </row>
        <row r="9">
          <cell r="B9">
            <v>150</v>
          </cell>
          <cell r="C9">
            <v>930</v>
          </cell>
          <cell r="D9">
            <v>680</v>
          </cell>
          <cell r="E9"/>
          <cell r="F9"/>
          <cell r="G9"/>
          <cell r="H9"/>
          <cell r="I9"/>
          <cell r="J9">
            <v>143750</v>
          </cell>
          <cell r="N9">
            <v>94000</v>
          </cell>
        </row>
        <row r="10">
          <cell r="B10"/>
          <cell r="C10">
            <v>775</v>
          </cell>
          <cell r="D10">
            <v>660</v>
          </cell>
          <cell r="E10">
            <v>33</v>
          </cell>
          <cell r="F10"/>
          <cell r="G10"/>
          <cell r="H10"/>
          <cell r="I10"/>
          <cell r="J10">
            <v>129405</v>
          </cell>
          <cell r="N10">
            <v>125000</v>
          </cell>
        </row>
        <row r="11">
          <cell r="B11"/>
          <cell r="C11">
            <v>595</v>
          </cell>
          <cell r="D11">
            <v>905</v>
          </cell>
          <cell r="E11">
            <v>18</v>
          </cell>
          <cell r="F11"/>
          <cell r="G11"/>
          <cell r="H11"/>
          <cell r="I11"/>
          <cell r="J11">
            <v>138005</v>
          </cell>
          <cell r="N11"/>
        </row>
        <row r="12">
          <cell r="B12"/>
          <cell r="C12">
            <v>110</v>
          </cell>
          <cell r="D12">
            <v>320</v>
          </cell>
          <cell r="E12">
            <v>30</v>
          </cell>
          <cell r="F12"/>
          <cell r="G12"/>
          <cell r="H12"/>
          <cell r="I12"/>
          <cell r="J12">
            <v>45050</v>
          </cell>
          <cell r="N12">
            <v>49225</v>
          </cell>
        </row>
        <row r="13">
          <cell r="B13"/>
          <cell r="C13">
            <v>915</v>
          </cell>
          <cell r="D13">
            <v>480</v>
          </cell>
          <cell r="E13">
            <v>3</v>
          </cell>
          <cell r="F13"/>
          <cell r="G13"/>
          <cell r="H13"/>
          <cell r="I13"/>
          <cell r="J13">
            <v>117105</v>
          </cell>
          <cell r="N13"/>
        </row>
      </sheetData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/>
      <sheetData sheetId="1">
        <row r="4">
          <cell r="B4"/>
          <cell r="C4">
            <v>300</v>
          </cell>
          <cell r="D4">
            <v>225</v>
          </cell>
          <cell r="E4"/>
          <cell r="F4"/>
          <cell r="G4"/>
          <cell r="H4"/>
          <cell r="I4"/>
          <cell r="J4">
            <v>45000</v>
          </cell>
          <cell r="N4"/>
        </row>
        <row r="5">
          <cell r="B5"/>
          <cell r="C5">
            <v>405</v>
          </cell>
          <cell r="D5">
            <v>50</v>
          </cell>
          <cell r="E5"/>
          <cell r="F5"/>
          <cell r="G5"/>
          <cell r="H5"/>
          <cell r="I5"/>
          <cell r="J5">
            <v>35375</v>
          </cell>
          <cell r="N5">
            <v>65000</v>
          </cell>
        </row>
        <row r="6">
          <cell r="B6"/>
          <cell r="C6">
            <v>1150</v>
          </cell>
          <cell r="D6">
            <v>400</v>
          </cell>
          <cell r="E6">
            <v>18</v>
          </cell>
          <cell r="F6"/>
          <cell r="G6"/>
          <cell r="H6"/>
          <cell r="I6"/>
          <cell r="J6">
            <v>129130</v>
          </cell>
          <cell r="N6">
            <v>127050</v>
          </cell>
        </row>
        <row r="7">
          <cell r="B7"/>
          <cell r="C7">
            <v>770</v>
          </cell>
          <cell r="D7">
            <v>530</v>
          </cell>
          <cell r="E7"/>
          <cell r="F7"/>
          <cell r="G7"/>
          <cell r="H7"/>
          <cell r="I7"/>
          <cell r="J7">
            <v>110750</v>
          </cell>
          <cell r="N7">
            <v>230000</v>
          </cell>
        </row>
        <row r="8">
          <cell r="B8"/>
          <cell r="C8">
            <v>460</v>
          </cell>
          <cell r="D8">
            <v>675</v>
          </cell>
          <cell r="E8"/>
          <cell r="F8"/>
          <cell r="G8"/>
          <cell r="H8"/>
          <cell r="I8"/>
          <cell r="J8">
            <v>102000</v>
          </cell>
          <cell r="N8"/>
        </row>
        <row r="9">
          <cell r="B9">
            <v>150</v>
          </cell>
          <cell r="C9">
            <v>1080</v>
          </cell>
          <cell r="D9">
            <v>726</v>
          </cell>
          <cell r="E9"/>
          <cell r="F9"/>
          <cell r="G9"/>
          <cell r="H9"/>
          <cell r="I9"/>
          <cell r="J9">
            <v>159600</v>
          </cell>
          <cell r="N9">
            <v>84000</v>
          </cell>
        </row>
        <row r="10">
          <cell r="B10"/>
          <cell r="C10">
            <v>475</v>
          </cell>
          <cell r="D10">
            <v>300</v>
          </cell>
          <cell r="E10">
            <v>30</v>
          </cell>
          <cell r="F10"/>
          <cell r="G10"/>
          <cell r="H10"/>
          <cell r="I10"/>
          <cell r="J10">
            <v>70425</v>
          </cell>
          <cell r="N10">
            <v>65425</v>
          </cell>
        </row>
        <row r="11">
          <cell r="B11"/>
          <cell r="C11">
            <v>560</v>
          </cell>
          <cell r="D11">
            <v>785</v>
          </cell>
          <cell r="E11">
            <v>5</v>
          </cell>
          <cell r="F11"/>
          <cell r="G11"/>
          <cell r="H11"/>
          <cell r="I11"/>
          <cell r="J11">
            <v>121300</v>
          </cell>
          <cell r="N11"/>
        </row>
        <row r="12">
          <cell r="B12"/>
          <cell r="C12">
            <v>110</v>
          </cell>
          <cell r="D12">
            <v>36</v>
          </cell>
          <cell r="E12">
            <v>31</v>
          </cell>
          <cell r="F12"/>
          <cell r="G12"/>
          <cell r="H12"/>
          <cell r="I12"/>
          <cell r="J12">
            <v>16810</v>
          </cell>
          <cell r="N12">
            <v>41000</v>
          </cell>
        </row>
        <row r="13">
          <cell r="B13">
            <v>1087.5</v>
          </cell>
          <cell r="C13">
            <v>0</v>
          </cell>
          <cell r="D13">
            <v>450</v>
          </cell>
          <cell r="E13">
            <v>3</v>
          </cell>
          <cell r="F13"/>
          <cell r="G13"/>
          <cell r="H13"/>
          <cell r="I13">
            <v>0</v>
          </cell>
          <cell r="J13">
            <v>88980</v>
          </cell>
          <cell r="N13"/>
        </row>
      </sheetData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/>
      <sheetData sheetId="1">
        <row r="4">
          <cell r="B4"/>
          <cell r="C4">
            <v>230</v>
          </cell>
          <cell r="D4">
            <v>346</v>
          </cell>
          <cell r="E4">
            <v>3</v>
          </cell>
          <cell r="F4"/>
          <cell r="G4"/>
          <cell r="H4"/>
          <cell r="I4"/>
          <cell r="J4">
            <v>52330</v>
          </cell>
          <cell r="N4">
            <v>127000</v>
          </cell>
        </row>
        <row r="5">
          <cell r="B5"/>
          <cell r="C5">
            <v>400</v>
          </cell>
          <cell r="D5">
            <v>55</v>
          </cell>
          <cell r="E5"/>
          <cell r="F5"/>
          <cell r="G5"/>
          <cell r="H5"/>
          <cell r="I5"/>
          <cell r="J5">
            <v>35500</v>
          </cell>
          <cell r="N5"/>
        </row>
        <row r="6">
          <cell r="B6"/>
          <cell r="C6">
            <v>1310</v>
          </cell>
          <cell r="D6">
            <v>520</v>
          </cell>
          <cell r="E6">
            <v>5</v>
          </cell>
          <cell r="F6"/>
          <cell r="G6"/>
          <cell r="H6"/>
          <cell r="I6">
            <v>25</v>
          </cell>
          <cell r="J6">
            <v>153550</v>
          </cell>
          <cell r="N6">
            <v>151000</v>
          </cell>
        </row>
        <row r="7">
          <cell r="B7"/>
          <cell r="C7">
            <v>830</v>
          </cell>
          <cell r="D7">
            <v>800</v>
          </cell>
          <cell r="E7">
            <v>5</v>
          </cell>
          <cell r="F7"/>
          <cell r="G7"/>
          <cell r="H7"/>
          <cell r="I7"/>
          <cell r="J7">
            <v>143050</v>
          </cell>
          <cell r="N7"/>
        </row>
        <row r="8">
          <cell r="B8"/>
          <cell r="C8">
            <v>650</v>
          </cell>
          <cell r="D8">
            <v>750</v>
          </cell>
          <cell r="E8"/>
          <cell r="F8"/>
          <cell r="G8"/>
          <cell r="H8"/>
          <cell r="I8">
            <v>15</v>
          </cell>
          <cell r="J8">
            <v>125250</v>
          </cell>
          <cell r="N8">
            <v>465500</v>
          </cell>
        </row>
        <row r="9">
          <cell r="B9">
            <v>150</v>
          </cell>
          <cell r="C9">
            <v>1130</v>
          </cell>
          <cell r="D9">
            <v>780</v>
          </cell>
          <cell r="E9"/>
          <cell r="F9"/>
          <cell r="G9"/>
          <cell r="H9"/>
          <cell r="I9"/>
          <cell r="J9">
            <v>168750</v>
          </cell>
          <cell r="N9">
            <v>205000</v>
          </cell>
        </row>
        <row r="10">
          <cell r="B10"/>
          <cell r="C10">
            <v>700</v>
          </cell>
          <cell r="D10">
            <v>640</v>
          </cell>
          <cell r="E10">
            <v>28</v>
          </cell>
          <cell r="F10"/>
          <cell r="G10"/>
          <cell r="H10"/>
          <cell r="I10"/>
          <cell r="J10">
            <v>120980</v>
          </cell>
          <cell r="N10">
            <v>121000</v>
          </cell>
        </row>
        <row r="11">
          <cell r="B11"/>
          <cell r="C11">
            <v>500</v>
          </cell>
          <cell r="D11">
            <v>650</v>
          </cell>
          <cell r="E11">
            <v>18</v>
          </cell>
          <cell r="F11"/>
          <cell r="G11"/>
          <cell r="H11"/>
          <cell r="I11"/>
          <cell r="J11">
            <v>105380</v>
          </cell>
          <cell r="N11"/>
        </row>
        <row r="12">
          <cell r="B12"/>
          <cell r="C12">
            <v>125</v>
          </cell>
          <cell r="D12">
            <v>285</v>
          </cell>
          <cell r="E12">
            <v>20</v>
          </cell>
          <cell r="F12"/>
          <cell r="G12"/>
          <cell r="H12"/>
          <cell r="I12"/>
          <cell r="J12">
            <v>41075</v>
          </cell>
          <cell r="N12">
            <v>41550</v>
          </cell>
        </row>
        <row r="13">
          <cell r="B13">
            <v>825</v>
          </cell>
          <cell r="C13">
            <v>260</v>
          </cell>
          <cell r="D13">
            <v>550</v>
          </cell>
          <cell r="E13">
            <v>3</v>
          </cell>
          <cell r="F13"/>
          <cell r="G13"/>
          <cell r="H13"/>
          <cell r="I13"/>
          <cell r="J13">
            <v>107980</v>
          </cell>
          <cell r="N13">
            <v>275000</v>
          </cell>
        </row>
      </sheetData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/>
      <sheetData sheetId="1">
        <row r="4">
          <cell r="B4"/>
          <cell r="C4">
            <v>415</v>
          </cell>
          <cell r="D4">
            <v>350</v>
          </cell>
          <cell r="E4">
            <v>3</v>
          </cell>
          <cell r="F4"/>
          <cell r="G4"/>
          <cell r="H4"/>
          <cell r="I4"/>
          <cell r="J4">
            <v>66605</v>
          </cell>
          <cell r="N4">
            <v>54000</v>
          </cell>
        </row>
        <row r="5">
          <cell r="B5"/>
          <cell r="C5">
            <v>400</v>
          </cell>
          <cell r="D5">
            <v>55</v>
          </cell>
          <cell r="E5"/>
          <cell r="F5"/>
          <cell r="G5"/>
          <cell r="H5"/>
          <cell r="I5"/>
          <cell r="J5">
            <v>35500</v>
          </cell>
          <cell r="N5">
            <v>62000</v>
          </cell>
        </row>
        <row r="6">
          <cell r="B6"/>
          <cell r="C6">
            <v>1320</v>
          </cell>
          <cell r="D6">
            <v>510</v>
          </cell>
          <cell r="E6">
            <v>5</v>
          </cell>
          <cell r="F6"/>
          <cell r="G6"/>
          <cell r="H6"/>
          <cell r="I6"/>
          <cell r="J6">
            <v>150800</v>
          </cell>
          <cell r="N6">
            <v>137300</v>
          </cell>
        </row>
        <row r="7">
          <cell r="B7"/>
          <cell r="C7">
            <v>740</v>
          </cell>
          <cell r="D7">
            <v>785</v>
          </cell>
          <cell r="E7">
            <v>5</v>
          </cell>
          <cell r="F7"/>
          <cell r="G7"/>
          <cell r="H7"/>
          <cell r="I7"/>
          <cell r="J7">
            <v>134800</v>
          </cell>
          <cell r="N7">
            <v>280000</v>
          </cell>
        </row>
        <row r="8">
          <cell r="B8"/>
          <cell r="C8">
            <v>712</v>
          </cell>
          <cell r="D8">
            <v>760</v>
          </cell>
          <cell r="E8">
            <v>5</v>
          </cell>
          <cell r="F8"/>
          <cell r="G8"/>
          <cell r="H8"/>
          <cell r="I8">
            <v>20</v>
          </cell>
          <cell r="J8">
            <v>132200</v>
          </cell>
          <cell r="N8"/>
        </row>
        <row r="9">
          <cell r="B9">
            <v>150</v>
          </cell>
          <cell r="C9">
            <v>930</v>
          </cell>
          <cell r="D9">
            <v>695</v>
          </cell>
          <cell r="E9"/>
          <cell r="F9"/>
          <cell r="G9"/>
          <cell r="H9"/>
          <cell r="I9"/>
          <cell r="J9">
            <v>145250</v>
          </cell>
          <cell r="N9">
            <v>145500</v>
          </cell>
        </row>
        <row r="10">
          <cell r="B10"/>
          <cell r="C10">
            <v>725</v>
          </cell>
          <cell r="D10">
            <v>675</v>
          </cell>
          <cell r="E10">
            <v>28</v>
          </cell>
          <cell r="F10"/>
          <cell r="G10"/>
          <cell r="H10"/>
          <cell r="I10">
            <v>15</v>
          </cell>
          <cell r="J10">
            <v>127855</v>
          </cell>
          <cell r="N10">
            <v>129000</v>
          </cell>
        </row>
        <row r="11">
          <cell r="B11"/>
          <cell r="C11">
            <v>510</v>
          </cell>
          <cell r="D11">
            <v>650</v>
          </cell>
          <cell r="E11">
            <v>18</v>
          </cell>
          <cell r="F11"/>
          <cell r="G11"/>
          <cell r="H11"/>
          <cell r="I11"/>
          <cell r="J11">
            <v>106130</v>
          </cell>
          <cell r="N11">
            <v>438000</v>
          </cell>
        </row>
        <row r="12">
          <cell r="B12"/>
          <cell r="C12">
            <v>115</v>
          </cell>
          <cell r="D12">
            <v>278</v>
          </cell>
          <cell r="E12">
            <v>32</v>
          </cell>
          <cell r="F12"/>
          <cell r="G12"/>
          <cell r="H12"/>
          <cell r="I12"/>
          <cell r="J12">
            <v>41545</v>
          </cell>
          <cell r="N12">
            <v>39225</v>
          </cell>
        </row>
        <row r="13">
          <cell r="B13"/>
          <cell r="C13">
            <v>920</v>
          </cell>
          <cell r="D13">
            <v>500</v>
          </cell>
          <cell r="E13">
            <v>3</v>
          </cell>
          <cell r="F13"/>
          <cell r="G13"/>
          <cell r="H13"/>
          <cell r="I13">
            <v>10</v>
          </cell>
          <cell r="J13">
            <v>120480</v>
          </cell>
          <cell r="N13">
            <v>229150</v>
          </cell>
        </row>
      </sheetData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/>
      <sheetData sheetId="1">
        <row r="4">
          <cell r="B4"/>
          <cell r="C4">
            <v>240</v>
          </cell>
          <cell r="D4">
            <v>325</v>
          </cell>
          <cell r="E4">
            <v>3</v>
          </cell>
          <cell r="F4"/>
          <cell r="G4"/>
          <cell r="H4">
            <v>20</v>
          </cell>
          <cell r="I4"/>
          <cell r="J4">
            <v>52580</v>
          </cell>
          <cell r="N4"/>
        </row>
        <row r="5">
          <cell r="B5"/>
          <cell r="C5">
            <v>400</v>
          </cell>
          <cell r="D5">
            <v>55</v>
          </cell>
          <cell r="E5"/>
          <cell r="F5"/>
          <cell r="G5"/>
          <cell r="H5"/>
          <cell r="I5"/>
          <cell r="J5">
            <v>35500</v>
          </cell>
          <cell r="N5"/>
        </row>
        <row r="6">
          <cell r="B6"/>
          <cell r="C6">
            <v>1370</v>
          </cell>
          <cell r="D6">
            <v>515</v>
          </cell>
          <cell r="E6">
            <v>5</v>
          </cell>
          <cell r="F6"/>
          <cell r="G6"/>
          <cell r="H6"/>
          <cell r="I6"/>
          <cell r="J6">
            <v>155050</v>
          </cell>
          <cell r="N6">
            <v>155000</v>
          </cell>
        </row>
        <row r="7">
          <cell r="B7"/>
          <cell r="C7">
            <v>520</v>
          </cell>
          <cell r="D7">
            <v>625</v>
          </cell>
          <cell r="E7">
            <v>5</v>
          </cell>
          <cell r="F7"/>
          <cell r="G7"/>
          <cell r="H7"/>
          <cell r="I7"/>
          <cell r="J7">
            <v>102300</v>
          </cell>
          <cell r="N7">
            <v>104300</v>
          </cell>
        </row>
        <row r="8">
          <cell r="B8"/>
          <cell r="C8">
            <v>703</v>
          </cell>
          <cell r="D8">
            <v>755</v>
          </cell>
          <cell r="E8">
            <v>5</v>
          </cell>
          <cell r="F8"/>
          <cell r="G8"/>
          <cell r="H8"/>
          <cell r="I8"/>
          <cell r="J8">
            <v>129025</v>
          </cell>
          <cell r="N8">
            <v>261200</v>
          </cell>
        </row>
        <row r="9">
          <cell r="B9">
            <v>150</v>
          </cell>
          <cell r="C9">
            <v>900</v>
          </cell>
          <cell r="D9">
            <v>695</v>
          </cell>
          <cell r="E9"/>
          <cell r="F9"/>
          <cell r="G9"/>
          <cell r="H9"/>
          <cell r="I9"/>
          <cell r="J9">
            <v>143000</v>
          </cell>
          <cell r="N9">
            <v>72000</v>
          </cell>
        </row>
        <row r="10">
          <cell r="B10"/>
          <cell r="C10">
            <v>725</v>
          </cell>
          <cell r="D10">
            <v>675</v>
          </cell>
          <cell r="E10">
            <v>28</v>
          </cell>
          <cell r="F10"/>
          <cell r="G10"/>
          <cell r="H10"/>
          <cell r="I10"/>
          <cell r="J10">
            <v>126355</v>
          </cell>
          <cell r="N10">
            <v>126500</v>
          </cell>
        </row>
        <row r="11">
          <cell r="B11"/>
          <cell r="C11">
            <v>561</v>
          </cell>
          <cell r="D11">
            <v>620</v>
          </cell>
          <cell r="E11">
            <v>18</v>
          </cell>
          <cell r="F11"/>
          <cell r="G11"/>
          <cell r="H11"/>
          <cell r="I11"/>
          <cell r="J11">
            <v>106955</v>
          </cell>
          <cell r="N11">
            <v>104200</v>
          </cell>
        </row>
        <row r="12">
          <cell r="B12"/>
          <cell r="C12">
            <v>95</v>
          </cell>
          <cell r="D12">
            <v>278</v>
          </cell>
          <cell r="E12">
            <v>27</v>
          </cell>
          <cell r="F12"/>
          <cell r="G12"/>
          <cell r="H12"/>
          <cell r="I12"/>
          <cell r="J12">
            <v>39245</v>
          </cell>
          <cell r="N12">
            <v>39725</v>
          </cell>
        </row>
        <row r="13">
          <cell r="B13"/>
          <cell r="C13">
            <v>1000</v>
          </cell>
          <cell r="D13">
            <v>500</v>
          </cell>
          <cell r="E13">
            <v>3</v>
          </cell>
          <cell r="F13"/>
          <cell r="G13"/>
          <cell r="H13"/>
          <cell r="I13"/>
          <cell r="J13">
            <v>125480</v>
          </cell>
          <cell r="N13"/>
        </row>
      </sheetData>
      <sheetData sheetId="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/>
      <sheetData sheetId="1">
        <row r="4">
          <cell r="B4"/>
          <cell r="C4">
            <v>225</v>
          </cell>
          <cell r="D4">
            <v>340</v>
          </cell>
          <cell r="E4">
            <v>2</v>
          </cell>
          <cell r="F4"/>
          <cell r="G4"/>
          <cell r="H4"/>
          <cell r="I4"/>
          <cell r="J4">
            <v>51195</v>
          </cell>
          <cell r="N4">
            <v>102500</v>
          </cell>
        </row>
        <row r="5">
          <cell r="B5"/>
          <cell r="C5">
            <v>350</v>
          </cell>
          <cell r="D5">
            <v>55</v>
          </cell>
          <cell r="E5"/>
          <cell r="F5"/>
          <cell r="G5"/>
          <cell r="H5"/>
          <cell r="I5"/>
          <cell r="J5">
            <v>31750</v>
          </cell>
          <cell r="N5">
            <v>60000</v>
          </cell>
        </row>
        <row r="6">
          <cell r="B6"/>
          <cell r="C6">
            <v>1390</v>
          </cell>
          <cell r="D6">
            <v>525</v>
          </cell>
          <cell r="E6">
            <v>5</v>
          </cell>
          <cell r="F6"/>
          <cell r="G6"/>
          <cell r="H6"/>
          <cell r="I6"/>
          <cell r="J6">
            <v>157550</v>
          </cell>
          <cell r="N6">
            <v>157000</v>
          </cell>
        </row>
        <row r="7">
          <cell r="B7"/>
          <cell r="C7">
            <v>725</v>
          </cell>
          <cell r="D7">
            <v>725</v>
          </cell>
          <cell r="E7">
            <v>5</v>
          </cell>
          <cell r="F7"/>
          <cell r="G7"/>
          <cell r="H7"/>
          <cell r="I7"/>
          <cell r="J7">
            <v>127675</v>
          </cell>
          <cell r="N7">
            <v>130000</v>
          </cell>
        </row>
        <row r="8">
          <cell r="B8"/>
          <cell r="C8">
            <v>680</v>
          </cell>
          <cell r="D8">
            <v>720</v>
          </cell>
          <cell r="E8">
            <v>5</v>
          </cell>
          <cell r="F8"/>
          <cell r="G8"/>
          <cell r="H8"/>
          <cell r="I8"/>
          <cell r="J8">
            <v>123800</v>
          </cell>
          <cell r="N8"/>
        </row>
        <row r="9">
          <cell r="B9">
            <v>150</v>
          </cell>
          <cell r="C9">
            <v>820</v>
          </cell>
          <cell r="D9">
            <v>645</v>
          </cell>
          <cell r="E9"/>
          <cell r="F9"/>
          <cell r="G9"/>
          <cell r="H9"/>
          <cell r="I9">
            <v>15</v>
          </cell>
          <cell r="J9">
            <v>133500</v>
          </cell>
          <cell r="N9">
            <v>207500</v>
          </cell>
        </row>
        <row r="10">
          <cell r="B10"/>
          <cell r="C10">
            <v>750</v>
          </cell>
          <cell r="D10">
            <v>650</v>
          </cell>
          <cell r="E10">
            <v>31</v>
          </cell>
          <cell r="F10"/>
          <cell r="G10"/>
          <cell r="H10"/>
          <cell r="I10"/>
          <cell r="J10">
            <v>126210</v>
          </cell>
          <cell r="N10">
            <v>126000</v>
          </cell>
        </row>
        <row r="11">
          <cell r="B11"/>
          <cell r="C11">
            <v>525</v>
          </cell>
          <cell r="D11">
            <v>565</v>
          </cell>
          <cell r="E11"/>
          <cell r="F11"/>
          <cell r="G11"/>
          <cell r="H11"/>
          <cell r="I11"/>
          <cell r="J11">
            <v>95875</v>
          </cell>
          <cell r="N11"/>
        </row>
        <row r="12">
          <cell r="B12"/>
          <cell r="C12">
            <v>110</v>
          </cell>
          <cell r="D12">
            <v>275</v>
          </cell>
          <cell r="E12">
            <v>25</v>
          </cell>
          <cell r="F12"/>
          <cell r="G12"/>
          <cell r="H12"/>
          <cell r="I12"/>
          <cell r="J12">
            <v>39750</v>
          </cell>
          <cell r="N12">
            <v>38200</v>
          </cell>
        </row>
        <row r="13">
          <cell r="B13"/>
          <cell r="C13">
            <v>965</v>
          </cell>
          <cell r="D13">
            <v>500</v>
          </cell>
          <cell r="E13">
            <v>3</v>
          </cell>
          <cell r="F13"/>
          <cell r="G13"/>
          <cell r="H13"/>
          <cell r="I13">
            <v>10</v>
          </cell>
          <cell r="J13">
            <v>123855</v>
          </cell>
          <cell r="N13"/>
        </row>
      </sheetData>
      <sheetData sheetId="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/>
      <sheetData sheetId="1">
        <row r="4">
          <cell r="B4"/>
          <cell r="C4">
            <v>215</v>
          </cell>
          <cell r="D4">
            <v>243</v>
          </cell>
          <cell r="E4">
            <v>3</v>
          </cell>
          <cell r="F4"/>
          <cell r="G4"/>
          <cell r="H4"/>
          <cell r="I4"/>
          <cell r="J4">
            <v>40905</v>
          </cell>
          <cell r="N4">
            <v>41000</v>
          </cell>
        </row>
        <row r="5">
          <cell r="B5"/>
          <cell r="C5">
            <v>400</v>
          </cell>
          <cell r="D5">
            <v>55</v>
          </cell>
          <cell r="E5"/>
          <cell r="F5"/>
          <cell r="G5"/>
          <cell r="H5"/>
          <cell r="I5"/>
          <cell r="J5">
            <v>35500</v>
          </cell>
          <cell r="N5"/>
        </row>
        <row r="6">
          <cell r="B6"/>
          <cell r="C6">
            <v>1310</v>
          </cell>
          <cell r="D6">
            <v>500</v>
          </cell>
          <cell r="E6">
            <v>5</v>
          </cell>
          <cell r="F6"/>
          <cell r="G6"/>
          <cell r="H6"/>
          <cell r="I6"/>
          <cell r="J6">
            <v>149050</v>
          </cell>
          <cell r="N6"/>
        </row>
        <row r="7">
          <cell r="B7"/>
          <cell r="C7">
            <v>750</v>
          </cell>
          <cell r="D7">
            <v>750</v>
          </cell>
          <cell r="E7">
            <v>5</v>
          </cell>
          <cell r="F7"/>
          <cell r="G7"/>
          <cell r="H7"/>
          <cell r="I7"/>
          <cell r="J7">
            <v>132050</v>
          </cell>
          <cell r="N7">
            <v>132000</v>
          </cell>
        </row>
        <row r="8">
          <cell r="B8"/>
          <cell r="C8">
            <v>650</v>
          </cell>
          <cell r="D8">
            <v>720</v>
          </cell>
          <cell r="E8">
            <v>5</v>
          </cell>
          <cell r="F8"/>
          <cell r="G8"/>
          <cell r="H8"/>
          <cell r="I8">
            <v>20</v>
          </cell>
          <cell r="J8">
            <v>123550</v>
          </cell>
          <cell r="N8">
            <v>245500</v>
          </cell>
        </row>
        <row r="9">
          <cell r="B9">
            <v>150</v>
          </cell>
          <cell r="C9">
            <v>880</v>
          </cell>
          <cell r="D9">
            <v>670</v>
          </cell>
          <cell r="E9"/>
          <cell r="F9"/>
          <cell r="G9"/>
          <cell r="H9"/>
          <cell r="I9"/>
          <cell r="J9">
            <v>139000</v>
          </cell>
          <cell r="N9">
            <v>139000</v>
          </cell>
        </row>
        <row r="10">
          <cell r="B10"/>
          <cell r="C10">
            <v>670</v>
          </cell>
          <cell r="D10">
            <v>675</v>
          </cell>
          <cell r="E10">
            <v>31</v>
          </cell>
          <cell r="F10"/>
          <cell r="G10"/>
          <cell r="H10"/>
          <cell r="I10"/>
          <cell r="J10">
            <v>122710</v>
          </cell>
          <cell r="N10">
            <v>122725</v>
          </cell>
        </row>
        <row r="11">
          <cell r="B11"/>
          <cell r="C11">
            <v>475</v>
          </cell>
          <cell r="D11">
            <v>625</v>
          </cell>
          <cell r="E11">
            <v>13</v>
          </cell>
          <cell r="F11"/>
          <cell r="G11"/>
          <cell r="H11"/>
          <cell r="I11"/>
          <cell r="J11">
            <v>100205</v>
          </cell>
          <cell r="N11">
            <v>202000</v>
          </cell>
        </row>
        <row r="12">
          <cell r="B12"/>
          <cell r="C12">
            <v>120</v>
          </cell>
          <cell r="D12">
            <v>275</v>
          </cell>
          <cell r="E12">
            <v>17</v>
          </cell>
          <cell r="F12"/>
          <cell r="G12"/>
          <cell r="H12"/>
          <cell r="I12"/>
          <cell r="J12">
            <v>39220</v>
          </cell>
          <cell r="N12">
            <v>43750</v>
          </cell>
        </row>
        <row r="13">
          <cell r="B13"/>
          <cell r="C13">
            <v>820</v>
          </cell>
          <cell r="D13">
            <v>500</v>
          </cell>
          <cell r="E13">
            <v>3</v>
          </cell>
          <cell r="F13"/>
          <cell r="G13"/>
          <cell r="H13"/>
          <cell r="I13"/>
          <cell r="J13">
            <v>111980</v>
          </cell>
          <cell r="N13"/>
        </row>
      </sheetData>
      <sheetData sheetId="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/>
      <sheetData sheetId="1">
        <row r="4">
          <cell r="B4"/>
          <cell r="C4">
            <v>200</v>
          </cell>
          <cell r="D4">
            <v>535</v>
          </cell>
          <cell r="E4">
            <v>8</v>
          </cell>
          <cell r="F4"/>
          <cell r="G4"/>
          <cell r="H4"/>
          <cell r="I4"/>
          <cell r="J4">
            <v>69780</v>
          </cell>
          <cell r="N4">
            <v>50000</v>
          </cell>
        </row>
        <row r="5">
          <cell r="B5"/>
          <cell r="C5">
            <v>420</v>
          </cell>
          <cell r="D5">
            <v>45</v>
          </cell>
          <cell r="E5"/>
          <cell r="F5"/>
          <cell r="G5"/>
          <cell r="H5"/>
          <cell r="I5">
            <v>10</v>
          </cell>
          <cell r="J5">
            <v>37000</v>
          </cell>
          <cell r="N5">
            <v>67000</v>
          </cell>
        </row>
        <row r="6">
          <cell r="B6"/>
          <cell r="C6">
            <v>1100</v>
          </cell>
          <cell r="D6">
            <v>500</v>
          </cell>
          <cell r="E6">
            <v>5</v>
          </cell>
          <cell r="F6"/>
          <cell r="G6"/>
          <cell r="H6"/>
          <cell r="I6">
            <v>10</v>
          </cell>
          <cell r="J6">
            <v>134300</v>
          </cell>
          <cell r="N6">
            <v>230000</v>
          </cell>
        </row>
        <row r="7">
          <cell r="B7"/>
          <cell r="C7">
            <v>822</v>
          </cell>
          <cell r="D7">
            <v>750</v>
          </cell>
          <cell r="E7">
            <v>5</v>
          </cell>
          <cell r="F7"/>
          <cell r="G7"/>
          <cell r="H7"/>
          <cell r="I7"/>
          <cell r="J7">
            <v>137450</v>
          </cell>
          <cell r="N7"/>
        </row>
        <row r="8">
          <cell r="B8"/>
          <cell r="C8">
            <v>605</v>
          </cell>
          <cell r="D8">
            <v>740</v>
          </cell>
          <cell r="E8">
            <v>5</v>
          </cell>
          <cell r="F8"/>
          <cell r="G8"/>
          <cell r="H8"/>
          <cell r="I8"/>
          <cell r="J8">
            <v>120175</v>
          </cell>
          <cell r="N8"/>
        </row>
        <row r="9">
          <cell r="B9">
            <v>150</v>
          </cell>
          <cell r="C9">
            <v>885</v>
          </cell>
          <cell r="D9">
            <v>580</v>
          </cell>
          <cell r="E9"/>
          <cell r="F9"/>
          <cell r="G9"/>
          <cell r="H9"/>
          <cell r="I9"/>
          <cell r="J9">
            <v>130375</v>
          </cell>
          <cell r="N9">
            <v>53500</v>
          </cell>
        </row>
        <row r="10">
          <cell r="B10"/>
          <cell r="C10">
            <v>765</v>
          </cell>
          <cell r="D10">
            <v>690</v>
          </cell>
          <cell r="E10">
            <v>36</v>
          </cell>
          <cell r="F10"/>
          <cell r="G10"/>
          <cell r="H10"/>
          <cell r="I10"/>
          <cell r="J10">
            <v>132135</v>
          </cell>
          <cell r="N10">
            <v>131150</v>
          </cell>
        </row>
        <row r="11">
          <cell r="B11"/>
          <cell r="C11">
            <v>520</v>
          </cell>
          <cell r="D11">
            <v>580</v>
          </cell>
          <cell r="E11">
            <v>13</v>
          </cell>
          <cell r="F11"/>
          <cell r="G11"/>
          <cell r="H11"/>
          <cell r="I11"/>
          <cell r="J11">
            <v>99080</v>
          </cell>
          <cell r="N11">
            <v>0</v>
          </cell>
        </row>
        <row r="12">
          <cell r="B12"/>
          <cell r="C12">
            <v>115</v>
          </cell>
          <cell r="D12">
            <v>310</v>
          </cell>
          <cell r="E12">
            <v>27</v>
          </cell>
          <cell r="F12"/>
          <cell r="G12"/>
          <cell r="H12"/>
          <cell r="I12"/>
          <cell r="J12">
            <v>43945</v>
          </cell>
          <cell r="N12">
            <v>46400</v>
          </cell>
        </row>
        <row r="13">
          <cell r="B13"/>
          <cell r="C13">
            <v>820</v>
          </cell>
          <cell r="D13">
            <v>500</v>
          </cell>
          <cell r="E13"/>
          <cell r="F13"/>
          <cell r="G13"/>
          <cell r="H13"/>
          <cell r="I13">
            <v>30</v>
          </cell>
          <cell r="J13">
            <v>114500</v>
          </cell>
          <cell r="N13">
            <v>325000</v>
          </cell>
        </row>
      </sheetData>
      <sheetData sheetId="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/>
      <sheetData sheetId="1">
        <row r="4">
          <cell r="B4"/>
          <cell r="C4">
            <v>245</v>
          </cell>
          <cell r="D4">
            <v>530</v>
          </cell>
          <cell r="E4">
            <v>13</v>
          </cell>
          <cell r="F4"/>
          <cell r="G4"/>
          <cell r="H4"/>
          <cell r="I4"/>
          <cell r="J4">
            <v>73455</v>
          </cell>
          <cell r="N4">
            <v>21600</v>
          </cell>
        </row>
        <row r="5">
          <cell r="B5"/>
          <cell r="C5">
            <v>410</v>
          </cell>
          <cell r="D5">
            <v>50</v>
          </cell>
          <cell r="E5"/>
          <cell r="F5"/>
          <cell r="G5"/>
          <cell r="H5"/>
          <cell r="I5"/>
          <cell r="J5">
            <v>35750</v>
          </cell>
          <cell r="N5"/>
        </row>
        <row r="6">
          <cell r="B6"/>
          <cell r="C6">
            <v>1090</v>
          </cell>
          <cell r="D6">
            <v>475</v>
          </cell>
          <cell r="E6">
            <v>5</v>
          </cell>
          <cell r="F6"/>
          <cell r="G6"/>
          <cell r="H6"/>
          <cell r="I6"/>
          <cell r="J6">
            <v>130050</v>
          </cell>
          <cell r="N6"/>
        </row>
        <row r="7">
          <cell r="B7"/>
          <cell r="C7">
            <v>460</v>
          </cell>
          <cell r="D7">
            <v>710</v>
          </cell>
          <cell r="E7">
            <v>5</v>
          </cell>
          <cell r="F7"/>
          <cell r="G7"/>
          <cell r="H7"/>
          <cell r="I7"/>
          <cell r="J7">
            <v>106300</v>
          </cell>
          <cell r="N7">
            <v>200750</v>
          </cell>
        </row>
        <row r="8">
          <cell r="B8"/>
          <cell r="C8">
            <v>550</v>
          </cell>
          <cell r="D8">
            <v>675</v>
          </cell>
          <cell r="E8">
            <v>5</v>
          </cell>
          <cell r="F8"/>
          <cell r="G8"/>
          <cell r="H8"/>
          <cell r="I8"/>
          <cell r="J8">
            <v>109550</v>
          </cell>
          <cell r="N8"/>
        </row>
        <row r="9">
          <cell r="B9">
            <v>250</v>
          </cell>
          <cell r="C9">
            <v>1120</v>
          </cell>
          <cell r="D9">
            <v>740</v>
          </cell>
          <cell r="E9"/>
          <cell r="F9"/>
          <cell r="G9"/>
          <cell r="H9"/>
          <cell r="I9"/>
          <cell r="J9">
            <v>168000</v>
          </cell>
          <cell r="N9">
            <v>85000</v>
          </cell>
        </row>
        <row r="10">
          <cell r="B10"/>
          <cell r="C10">
            <v>507</v>
          </cell>
          <cell r="D10">
            <v>300</v>
          </cell>
          <cell r="E10">
            <v>30</v>
          </cell>
          <cell r="F10"/>
          <cell r="G10"/>
          <cell r="H10"/>
          <cell r="I10"/>
          <cell r="J10">
            <v>72825</v>
          </cell>
          <cell r="N10">
            <v>72825</v>
          </cell>
        </row>
        <row r="11">
          <cell r="B11"/>
          <cell r="C11">
            <v>465</v>
          </cell>
          <cell r="D11">
            <v>575</v>
          </cell>
          <cell r="E11">
            <v>13</v>
          </cell>
          <cell r="F11"/>
          <cell r="G11"/>
          <cell r="H11"/>
          <cell r="I11"/>
          <cell r="J11">
            <v>94455</v>
          </cell>
          <cell r="N11"/>
        </row>
        <row r="12">
          <cell r="B12"/>
          <cell r="C12">
            <v>125</v>
          </cell>
          <cell r="D12">
            <v>325</v>
          </cell>
          <cell r="E12">
            <v>27</v>
          </cell>
          <cell r="F12"/>
          <cell r="G12"/>
          <cell r="H12"/>
          <cell r="I12"/>
          <cell r="J12">
            <v>46195</v>
          </cell>
          <cell r="N12">
            <v>41000</v>
          </cell>
        </row>
        <row r="13">
          <cell r="B13">
            <v>937.5</v>
          </cell>
          <cell r="C13">
            <v>25</v>
          </cell>
          <cell r="D13">
            <v>400</v>
          </cell>
          <cell r="E13"/>
          <cell r="F13"/>
          <cell r="G13"/>
          <cell r="H13"/>
          <cell r="I13"/>
          <cell r="J13">
            <v>79375</v>
          </cell>
          <cell r="N13"/>
        </row>
      </sheetData>
      <sheetData sheetId="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/>
      <sheetData sheetId="1">
        <row r="4">
          <cell r="B4"/>
          <cell r="C4">
            <v>220</v>
          </cell>
          <cell r="D4">
            <v>535</v>
          </cell>
          <cell r="E4">
            <v>13</v>
          </cell>
          <cell r="F4"/>
          <cell r="G4"/>
          <cell r="H4"/>
          <cell r="I4"/>
          <cell r="J4">
            <v>72080</v>
          </cell>
          <cell r="N4">
            <v>125000</v>
          </cell>
        </row>
        <row r="5">
          <cell r="B5"/>
          <cell r="C5">
            <v>400</v>
          </cell>
          <cell r="D5">
            <v>55</v>
          </cell>
          <cell r="E5"/>
          <cell r="F5"/>
          <cell r="G5"/>
          <cell r="H5"/>
          <cell r="I5"/>
          <cell r="N5">
            <v>55000</v>
          </cell>
        </row>
        <row r="6">
          <cell r="B6"/>
          <cell r="C6">
            <v>1260</v>
          </cell>
          <cell r="D6">
            <v>525</v>
          </cell>
          <cell r="E6">
            <v>5</v>
          </cell>
          <cell r="F6"/>
          <cell r="G6"/>
          <cell r="H6"/>
          <cell r="I6"/>
          <cell r="N6">
            <v>230000</v>
          </cell>
        </row>
        <row r="7">
          <cell r="B7"/>
          <cell r="C7">
            <v>742</v>
          </cell>
          <cell r="D7">
            <v>505</v>
          </cell>
          <cell r="E7">
            <v>6</v>
          </cell>
          <cell r="F7"/>
          <cell r="G7"/>
          <cell r="H7"/>
          <cell r="I7"/>
          <cell r="N7"/>
        </row>
        <row r="8">
          <cell r="B8"/>
          <cell r="C8">
            <v>700</v>
          </cell>
          <cell r="D8">
            <v>800</v>
          </cell>
          <cell r="E8">
            <v>5</v>
          </cell>
          <cell r="F8"/>
          <cell r="G8"/>
          <cell r="H8"/>
          <cell r="I8"/>
          <cell r="N8">
            <v>98000</v>
          </cell>
        </row>
        <row r="9">
          <cell r="B9">
            <v>90</v>
          </cell>
          <cell r="C9">
            <v>1130</v>
          </cell>
          <cell r="D9">
            <v>720</v>
          </cell>
          <cell r="E9">
            <v>12</v>
          </cell>
          <cell r="F9"/>
          <cell r="G9"/>
          <cell r="H9"/>
          <cell r="J9">
            <v>162270</v>
          </cell>
          <cell r="N9">
            <v>245000</v>
          </cell>
        </row>
        <row r="10">
          <cell r="B10"/>
          <cell r="C10">
            <v>782</v>
          </cell>
          <cell r="D10">
            <v>685</v>
          </cell>
          <cell r="E10">
            <v>21</v>
          </cell>
          <cell r="F10"/>
          <cell r="G10"/>
          <cell r="H10"/>
          <cell r="J10">
            <v>131110</v>
          </cell>
          <cell r="N10">
            <v>131125</v>
          </cell>
        </row>
        <row r="11">
          <cell r="B11"/>
          <cell r="C11">
            <v>500</v>
          </cell>
          <cell r="D11">
            <v>635</v>
          </cell>
          <cell r="E11">
            <v>5</v>
          </cell>
          <cell r="F11"/>
          <cell r="G11"/>
          <cell r="H11"/>
          <cell r="J11">
            <v>101800</v>
          </cell>
          <cell r="N11"/>
        </row>
        <row r="12">
          <cell r="B12"/>
          <cell r="C12">
            <v>120</v>
          </cell>
          <cell r="D12">
            <v>280</v>
          </cell>
          <cell r="E12">
            <v>25</v>
          </cell>
          <cell r="F12"/>
          <cell r="G12"/>
          <cell r="H12"/>
          <cell r="J12">
            <v>41000</v>
          </cell>
          <cell r="N12">
            <v>41950</v>
          </cell>
        </row>
        <row r="13">
          <cell r="B13">
            <v>900</v>
          </cell>
          <cell r="C13">
            <v>15</v>
          </cell>
          <cell r="D13">
            <v>500</v>
          </cell>
          <cell r="E13">
            <v>3</v>
          </cell>
          <cell r="F13"/>
          <cell r="G13"/>
          <cell r="H13"/>
          <cell r="J13">
            <v>87605</v>
          </cell>
          <cell r="N13"/>
        </row>
      </sheetData>
      <sheetData sheetId="2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/>
      <sheetData sheetId="1">
        <row r="4">
          <cell r="B4"/>
          <cell r="C4">
            <v>250</v>
          </cell>
          <cell r="D4">
            <v>470</v>
          </cell>
          <cell r="E4">
            <v>13</v>
          </cell>
          <cell r="F4"/>
          <cell r="G4"/>
          <cell r="H4"/>
          <cell r="I4"/>
          <cell r="J4">
            <v>67830</v>
          </cell>
          <cell r="N4">
            <v>68600</v>
          </cell>
        </row>
        <row r="5">
          <cell r="B5"/>
          <cell r="C5">
            <v>400</v>
          </cell>
          <cell r="D5">
            <v>50</v>
          </cell>
          <cell r="E5"/>
          <cell r="F5"/>
          <cell r="G5"/>
          <cell r="H5"/>
          <cell r="I5"/>
          <cell r="J5">
            <v>35000</v>
          </cell>
          <cell r="N5"/>
        </row>
        <row r="6">
          <cell r="B6"/>
          <cell r="C6">
            <v>1340</v>
          </cell>
          <cell r="D6">
            <v>500</v>
          </cell>
          <cell r="E6">
            <v>5</v>
          </cell>
          <cell r="F6"/>
          <cell r="G6"/>
          <cell r="H6"/>
          <cell r="I6"/>
          <cell r="J6">
            <v>151300</v>
          </cell>
          <cell r="N6">
            <v>170000</v>
          </cell>
        </row>
        <row r="7">
          <cell r="B7"/>
          <cell r="C7">
            <v>720</v>
          </cell>
          <cell r="D7">
            <v>535</v>
          </cell>
          <cell r="E7">
            <v>5</v>
          </cell>
          <cell r="F7"/>
          <cell r="G7"/>
          <cell r="H7"/>
          <cell r="I7"/>
          <cell r="J7">
            <v>108300</v>
          </cell>
          <cell r="N7">
            <v>195250</v>
          </cell>
        </row>
        <row r="8">
          <cell r="B8"/>
          <cell r="C8">
            <v>720</v>
          </cell>
          <cell r="D8">
            <v>800</v>
          </cell>
          <cell r="E8">
            <v>5</v>
          </cell>
          <cell r="F8"/>
          <cell r="G8"/>
          <cell r="H8"/>
          <cell r="I8">
            <v>26</v>
          </cell>
          <cell r="J8">
            <v>137400</v>
          </cell>
          <cell r="N8">
            <v>348500</v>
          </cell>
        </row>
        <row r="9">
          <cell r="B9">
            <v>150</v>
          </cell>
          <cell r="C9">
            <v>1096</v>
          </cell>
          <cell r="D9">
            <v>700</v>
          </cell>
          <cell r="E9"/>
          <cell r="F9"/>
          <cell r="G9"/>
          <cell r="H9"/>
          <cell r="I9"/>
          <cell r="J9">
            <v>158200</v>
          </cell>
          <cell r="N9">
            <v>159500</v>
          </cell>
        </row>
        <row r="10">
          <cell r="B10"/>
          <cell r="C10">
            <v>800</v>
          </cell>
          <cell r="D10">
            <v>780</v>
          </cell>
          <cell r="E10">
            <v>28</v>
          </cell>
          <cell r="F10"/>
          <cell r="G10"/>
          <cell r="H10"/>
          <cell r="I10"/>
          <cell r="J10">
            <v>142480</v>
          </cell>
          <cell r="N10">
            <v>143500</v>
          </cell>
        </row>
        <row r="11">
          <cell r="B11"/>
          <cell r="C11">
            <v>575</v>
          </cell>
          <cell r="D11">
            <v>650</v>
          </cell>
          <cell r="E11">
            <v>18</v>
          </cell>
          <cell r="F11"/>
          <cell r="G11"/>
          <cell r="H11"/>
          <cell r="I11"/>
          <cell r="J11">
            <v>111005</v>
          </cell>
          <cell r="N11">
            <v>391500</v>
          </cell>
        </row>
        <row r="12">
          <cell r="B12"/>
          <cell r="C12">
            <v>115</v>
          </cell>
          <cell r="D12">
            <v>290</v>
          </cell>
          <cell r="E12">
            <v>27</v>
          </cell>
          <cell r="F12"/>
          <cell r="G12"/>
          <cell r="H12"/>
          <cell r="I12"/>
          <cell r="J12">
            <v>41945</v>
          </cell>
          <cell r="N12">
            <v>44400</v>
          </cell>
        </row>
        <row r="13">
          <cell r="B13"/>
          <cell r="C13">
            <v>850</v>
          </cell>
          <cell r="D13">
            <v>450</v>
          </cell>
          <cell r="E13">
            <v>3</v>
          </cell>
          <cell r="F13"/>
          <cell r="G13"/>
          <cell r="H13"/>
          <cell r="I13"/>
          <cell r="J13">
            <v>109230</v>
          </cell>
          <cell r="N13"/>
        </row>
      </sheetData>
      <sheetData sheetId="2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/>
      <sheetData sheetId="1">
        <row r="4">
          <cell r="B4"/>
          <cell r="C4">
            <v>250</v>
          </cell>
          <cell r="D4">
            <v>535</v>
          </cell>
          <cell r="E4">
            <v>15</v>
          </cell>
          <cell r="F4"/>
          <cell r="G4"/>
          <cell r="H4"/>
          <cell r="I4"/>
          <cell r="J4">
            <v>74650</v>
          </cell>
          <cell r="N4">
            <v>76650</v>
          </cell>
        </row>
        <row r="5">
          <cell r="B5"/>
          <cell r="C5">
            <v>365</v>
          </cell>
          <cell r="D5">
            <v>50</v>
          </cell>
          <cell r="E5"/>
          <cell r="F5"/>
          <cell r="G5"/>
          <cell r="H5"/>
          <cell r="I5"/>
          <cell r="J5">
            <v>32375</v>
          </cell>
          <cell r="N5">
            <v>68500</v>
          </cell>
        </row>
        <row r="6">
          <cell r="B6"/>
          <cell r="C6">
            <v>1295</v>
          </cell>
          <cell r="D6">
            <v>500</v>
          </cell>
          <cell r="E6">
            <v>5</v>
          </cell>
          <cell r="F6"/>
          <cell r="G6"/>
          <cell r="H6"/>
          <cell r="I6"/>
          <cell r="J6">
            <v>147925</v>
          </cell>
          <cell r="N6">
            <v>150000</v>
          </cell>
        </row>
        <row r="7">
          <cell r="B7"/>
          <cell r="C7">
            <v>710</v>
          </cell>
          <cell r="D7">
            <v>525</v>
          </cell>
          <cell r="E7">
            <v>5</v>
          </cell>
          <cell r="F7"/>
          <cell r="G7"/>
          <cell r="H7"/>
          <cell r="I7"/>
          <cell r="J7">
            <v>106550</v>
          </cell>
          <cell r="N7">
            <v>135550</v>
          </cell>
        </row>
        <row r="8">
          <cell r="B8"/>
          <cell r="C8">
            <v>745</v>
          </cell>
          <cell r="D8">
            <v>750</v>
          </cell>
          <cell r="E8">
            <v>5</v>
          </cell>
          <cell r="F8"/>
          <cell r="G8"/>
          <cell r="H8"/>
          <cell r="I8"/>
          <cell r="J8">
            <v>131675</v>
          </cell>
          <cell r="N8">
            <v>133000</v>
          </cell>
        </row>
        <row r="9">
          <cell r="B9">
            <v>150</v>
          </cell>
          <cell r="C9">
            <v>960</v>
          </cell>
          <cell r="D9">
            <v>700</v>
          </cell>
          <cell r="E9"/>
          <cell r="F9"/>
          <cell r="G9"/>
          <cell r="H9"/>
          <cell r="I9"/>
          <cell r="J9">
            <v>148000</v>
          </cell>
          <cell r="N9">
            <v>149500</v>
          </cell>
        </row>
        <row r="10">
          <cell r="B10"/>
          <cell r="C10">
            <v>775</v>
          </cell>
          <cell r="D10">
            <v>750</v>
          </cell>
          <cell r="E10">
            <v>31</v>
          </cell>
          <cell r="F10"/>
          <cell r="G10"/>
          <cell r="H10"/>
          <cell r="I10"/>
          <cell r="J10">
            <v>138085</v>
          </cell>
          <cell r="N10">
            <v>139100</v>
          </cell>
        </row>
        <row r="11">
          <cell r="B11"/>
          <cell r="C11">
            <v>600</v>
          </cell>
          <cell r="D11">
            <v>650</v>
          </cell>
          <cell r="E11">
            <v>18</v>
          </cell>
          <cell r="F11"/>
          <cell r="G11"/>
          <cell r="H11"/>
          <cell r="I11"/>
          <cell r="J11">
            <v>112880</v>
          </cell>
          <cell r="N11">
            <v>114000</v>
          </cell>
        </row>
        <row r="12">
          <cell r="B12"/>
          <cell r="C12">
            <v>130</v>
          </cell>
          <cell r="D12">
            <v>300</v>
          </cell>
          <cell r="E12">
            <v>29</v>
          </cell>
          <cell r="F12"/>
          <cell r="G12"/>
          <cell r="H12"/>
          <cell r="I12"/>
          <cell r="J12">
            <v>44390</v>
          </cell>
          <cell r="N12">
            <v>45550</v>
          </cell>
        </row>
        <row r="13">
          <cell r="B13"/>
          <cell r="C13">
            <v>965</v>
          </cell>
          <cell r="D13">
            <v>500</v>
          </cell>
          <cell r="E13">
            <v>3</v>
          </cell>
          <cell r="F13"/>
          <cell r="G13"/>
          <cell r="H13"/>
          <cell r="I13"/>
          <cell r="J13">
            <v>122855</v>
          </cell>
          <cell r="N13">
            <v>360000</v>
          </cell>
        </row>
      </sheetData>
      <sheetData sheetId="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>
        <row r="18">
          <cell r="Q18">
            <v>0</v>
          </cell>
        </row>
      </sheetData>
      <sheetData sheetId="1">
        <row r="4">
          <cell r="B4"/>
          <cell r="C4">
            <v>935</v>
          </cell>
          <cell r="D4">
            <v>915</v>
          </cell>
          <cell r="E4">
            <v>13</v>
          </cell>
          <cell r="F4"/>
          <cell r="G4"/>
          <cell r="H4"/>
          <cell r="I4"/>
          <cell r="J4">
            <v>163705</v>
          </cell>
          <cell r="N4">
            <v>163800</v>
          </cell>
        </row>
        <row r="5">
          <cell r="B5"/>
          <cell r="C5">
            <v>300</v>
          </cell>
          <cell r="D5">
            <v>50</v>
          </cell>
          <cell r="E5"/>
          <cell r="F5"/>
          <cell r="G5"/>
          <cell r="H5"/>
          <cell r="I5"/>
          <cell r="J5">
            <v>27500</v>
          </cell>
          <cell r="N5"/>
        </row>
        <row r="6">
          <cell r="B6"/>
          <cell r="C6">
            <v>1215</v>
          </cell>
          <cell r="D6">
            <v>500</v>
          </cell>
          <cell r="E6">
            <v>5</v>
          </cell>
          <cell r="F6"/>
          <cell r="G6"/>
          <cell r="H6"/>
          <cell r="I6"/>
          <cell r="J6">
            <v>141925</v>
          </cell>
          <cell r="N6">
            <v>150000</v>
          </cell>
        </row>
        <row r="7">
          <cell r="B7"/>
          <cell r="C7">
            <v>775</v>
          </cell>
          <cell r="D7">
            <v>535</v>
          </cell>
          <cell r="E7">
            <v>5</v>
          </cell>
          <cell r="F7"/>
          <cell r="G7"/>
          <cell r="H7"/>
          <cell r="I7"/>
          <cell r="J7">
            <v>112425</v>
          </cell>
          <cell r="N7">
            <v>122425</v>
          </cell>
        </row>
        <row r="8">
          <cell r="B8"/>
          <cell r="C8">
            <v>760</v>
          </cell>
          <cell r="D8">
            <v>810</v>
          </cell>
          <cell r="E8">
            <v>5</v>
          </cell>
          <cell r="F8"/>
          <cell r="G8"/>
          <cell r="H8"/>
          <cell r="I8"/>
          <cell r="J8">
            <v>138800</v>
          </cell>
          <cell r="N8">
            <v>139600</v>
          </cell>
        </row>
        <row r="9">
          <cell r="B9">
            <v>150</v>
          </cell>
          <cell r="C9">
            <v>1010</v>
          </cell>
          <cell r="D9">
            <v>700</v>
          </cell>
          <cell r="E9">
            <v>14</v>
          </cell>
          <cell r="F9"/>
          <cell r="G9"/>
          <cell r="H9"/>
          <cell r="I9"/>
          <cell r="J9">
            <v>153990</v>
          </cell>
          <cell r="N9">
            <v>100364</v>
          </cell>
        </row>
        <row r="10">
          <cell r="B10"/>
          <cell r="C10">
            <v>757</v>
          </cell>
          <cell r="D10">
            <v>747</v>
          </cell>
          <cell r="E10">
            <v>31</v>
          </cell>
          <cell r="F10"/>
          <cell r="G10"/>
          <cell r="H10"/>
          <cell r="I10">
            <v>10</v>
          </cell>
          <cell r="J10">
            <v>137435</v>
          </cell>
          <cell r="N10">
            <v>136500</v>
          </cell>
        </row>
        <row r="11">
          <cell r="B11"/>
          <cell r="C11">
            <v>535</v>
          </cell>
          <cell r="D11">
            <v>600</v>
          </cell>
          <cell r="E11">
            <v>13</v>
          </cell>
          <cell r="F11"/>
          <cell r="G11"/>
          <cell r="H11"/>
          <cell r="I11"/>
          <cell r="J11">
            <v>102205</v>
          </cell>
          <cell r="N11"/>
        </row>
        <row r="12">
          <cell r="B12"/>
          <cell r="C12">
            <v>130</v>
          </cell>
          <cell r="D12">
            <v>315</v>
          </cell>
          <cell r="E12">
            <v>27</v>
          </cell>
          <cell r="F12"/>
          <cell r="G12"/>
          <cell r="H12"/>
          <cell r="I12"/>
          <cell r="J12">
            <v>45570</v>
          </cell>
          <cell r="N12">
            <v>41000</v>
          </cell>
        </row>
        <row r="13">
          <cell r="B13"/>
          <cell r="C13">
            <v>920</v>
          </cell>
          <cell r="D13">
            <v>500</v>
          </cell>
          <cell r="E13"/>
          <cell r="F13"/>
          <cell r="G13"/>
          <cell r="H13"/>
          <cell r="I13"/>
          <cell r="J13">
            <v>119000</v>
          </cell>
          <cell r="N13"/>
        </row>
      </sheetData>
      <sheetData sheetId="2">
        <row r="11">
          <cell r="U11">
            <v>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/>
      <sheetData sheetId="1">
        <row r="4">
          <cell r="B4"/>
          <cell r="C4">
            <v>920</v>
          </cell>
          <cell r="D4">
            <v>906</v>
          </cell>
          <cell r="E4">
            <v>12</v>
          </cell>
          <cell r="F4"/>
          <cell r="G4"/>
          <cell r="H4"/>
          <cell r="I4"/>
          <cell r="J4">
            <v>161520</v>
          </cell>
          <cell r="N4">
            <v>167025</v>
          </cell>
        </row>
        <row r="5">
          <cell r="B5"/>
          <cell r="C5">
            <v>360</v>
          </cell>
          <cell r="D5">
            <v>50</v>
          </cell>
          <cell r="E5"/>
          <cell r="F5"/>
          <cell r="G5"/>
          <cell r="H5"/>
          <cell r="I5"/>
          <cell r="J5">
            <v>32000</v>
          </cell>
          <cell r="N5">
            <v>61000</v>
          </cell>
        </row>
        <row r="6">
          <cell r="B6"/>
          <cell r="C6">
            <v>1255</v>
          </cell>
          <cell r="D6">
            <v>475</v>
          </cell>
          <cell r="E6">
            <v>5</v>
          </cell>
          <cell r="F6"/>
          <cell r="G6"/>
          <cell r="H6"/>
          <cell r="I6">
            <v>20</v>
          </cell>
          <cell r="J6">
            <v>144425</v>
          </cell>
          <cell r="N6">
            <v>100000</v>
          </cell>
        </row>
        <row r="7">
          <cell r="B7"/>
          <cell r="C7">
            <v>800</v>
          </cell>
          <cell r="D7">
            <v>535</v>
          </cell>
          <cell r="E7">
            <v>5</v>
          </cell>
          <cell r="F7"/>
          <cell r="G7"/>
          <cell r="H7"/>
          <cell r="I7"/>
          <cell r="J7">
            <v>114300</v>
          </cell>
          <cell r="N7">
            <v>107000</v>
          </cell>
        </row>
        <row r="8">
          <cell r="B8"/>
          <cell r="C8">
            <v>730</v>
          </cell>
          <cell r="D8">
            <v>775</v>
          </cell>
          <cell r="E8">
            <v>5</v>
          </cell>
          <cell r="F8"/>
          <cell r="G8"/>
          <cell r="H8"/>
          <cell r="I8"/>
          <cell r="J8">
            <v>133050</v>
          </cell>
          <cell r="N8">
            <v>133500</v>
          </cell>
        </row>
        <row r="9">
          <cell r="B9"/>
          <cell r="C9">
            <v>890</v>
          </cell>
          <cell r="D9">
            <v>500</v>
          </cell>
          <cell r="E9"/>
          <cell r="F9"/>
          <cell r="G9"/>
          <cell r="H9"/>
          <cell r="I9"/>
          <cell r="J9">
            <v>116750</v>
          </cell>
          <cell r="N9">
            <v>171500</v>
          </cell>
        </row>
        <row r="10">
          <cell r="B10"/>
          <cell r="C10">
            <v>660</v>
          </cell>
          <cell r="D10">
            <v>700</v>
          </cell>
          <cell r="E10">
            <v>28</v>
          </cell>
          <cell r="F10"/>
          <cell r="G10"/>
          <cell r="H10"/>
          <cell r="I10"/>
          <cell r="J10">
            <v>123980</v>
          </cell>
          <cell r="N10">
            <v>122500</v>
          </cell>
        </row>
        <row r="11">
          <cell r="B11"/>
          <cell r="C11">
            <v>480</v>
          </cell>
          <cell r="D11">
            <v>640</v>
          </cell>
          <cell r="E11">
            <v>18</v>
          </cell>
          <cell r="F11"/>
          <cell r="G11"/>
          <cell r="H11"/>
          <cell r="I11"/>
          <cell r="J11">
            <v>102880</v>
          </cell>
          <cell r="N11">
            <v>216500</v>
          </cell>
        </row>
        <row r="12">
          <cell r="B12"/>
          <cell r="C12">
            <v>100</v>
          </cell>
          <cell r="D12">
            <v>300</v>
          </cell>
          <cell r="E12">
            <v>22</v>
          </cell>
          <cell r="F12"/>
          <cell r="G12"/>
          <cell r="H12"/>
          <cell r="I12"/>
          <cell r="J12">
            <v>41020</v>
          </cell>
          <cell r="N12">
            <v>47350</v>
          </cell>
        </row>
        <row r="13">
          <cell r="B13"/>
          <cell r="C13">
            <v>975</v>
          </cell>
          <cell r="D13">
            <v>500</v>
          </cell>
          <cell r="E13"/>
          <cell r="F13"/>
          <cell r="G13"/>
          <cell r="H13"/>
          <cell r="I13"/>
          <cell r="J13">
            <v>123125</v>
          </cell>
          <cell r="N13">
            <v>250000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workbookViewId="0">
      <selection activeCell="O31" sqref="O31"/>
    </sheetView>
  </sheetViews>
  <sheetFormatPr baseColWidth="10" defaultRowHeight="15" x14ac:dyDescent="0.25"/>
  <cols>
    <col min="1" max="1" width="10.85546875" bestFit="1" customWidth="1"/>
    <col min="2" max="9" width="7.28515625" style="13" customWidth="1"/>
    <col min="10" max="10" width="9.7109375" style="13" bestFit="1" customWidth="1"/>
    <col min="11" max="11" width="10.7109375" style="3" bestFit="1" customWidth="1"/>
    <col min="12" max="12" width="8.85546875" style="3" bestFit="1" customWidth="1"/>
  </cols>
  <sheetData>
    <row r="1" spans="1:12" s="4" customFormat="1" x14ac:dyDescent="0.25">
      <c r="A1" s="18" t="s">
        <v>11</v>
      </c>
      <c r="B1" s="18"/>
      <c r="C1" s="18"/>
      <c r="D1" s="18"/>
      <c r="E1" s="18"/>
      <c r="F1" s="18"/>
      <c r="G1" s="18"/>
      <c r="H1" s="18"/>
      <c r="I1" s="18"/>
      <c r="J1" s="11" t="s">
        <v>12</v>
      </c>
      <c r="K1" s="9"/>
      <c r="L1" s="10">
        <v>46204</v>
      </c>
    </row>
    <row r="2" spans="1:12" x14ac:dyDescent="0.25">
      <c r="A2" s="19" t="s">
        <v>10</v>
      </c>
      <c r="B2" s="20" t="s">
        <v>0</v>
      </c>
      <c r="C2" s="20"/>
      <c r="D2" s="20"/>
      <c r="E2" s="20"/>
      <c r="F2" s="20"/>
      <c r="G2" s="20"/>
      <c r="H2" s="2" t="s">
        <v>1</v>
      </c>
      <c r="I2" s="2" t="s">
        <v>2</v>
      </c>
      <c r="J2" s="20" t="s">
        <v>3</v>
      </c>
      <c r="K2" s="20" t="s">
        <v>8</v>
      </c>
      <c r="L2" s="20" t="s">
        <v>9</v>
      </c>
    </row>
    <row r="3" spans="1:12" x14ac:dyDescent="0.25">
      <c r="A3" s="19"/>
      <c r="B3" s="2">
        <v>40</v>
      </c>
      <c r="C3" s="2">
        <v>75</v>
      </c>
      <c r="D3" s="2">
        <v>100</v>
      </c>
      <c r="E3" s="2" t="s">
        <v>4</v>
      </c>
      <c r="F3" s="2" t="s">
        <v>5</v>
      </c>
      <c r="G3" s="2" t="s">
        <v>6</v>
      </c>
      <c r="H3" s="2">
        <v>80</v>
      </c>
      <c r="I3" s="2">
        <v>100</v>
      </c>
      <c r="J3" s="20"/>
      <c r="K3" s="20"/>
      <c r="L3" s="20"/>
    </row>
    <row r="4" spans="1:12" x14ac:dyDescent="0.25">
      <c r="A4" s="6" t="s">
        <v>7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</row>
    <row r="5" spans="1:12" x14ac:dyDescent="0.25">
      <c r="A5" s="7">
        <v>46204</v>
      </c>
      <c r="B5" s="12"/>
      <c r="C5" s="15">
        <v>275</v>
      </c>
      <c r="D5" s="15">
        <v>350</v>
      </c>
      <c r="E5" s="15">
        <v>3</v>
      </c>
      <c r="F5" s="15"/>
      <c r="G5" s="12"/>
      <c r="H5" s="12"/>
      <c r="I5" s="12"/>
      <c r="J5" s="12">
        <f>B5*40+C5*75+D5*100+E5*160+F5*160+H5*80+I5*100</f>
        <v>56105</v>
      </c>
      <c r="K5" s="16"/>
      <c r="L5" s="2">
        <f>+J5+L4-K5</f>
        <v>56105</v>
      </c>
    </row>
    <row r="6" spans="1:12" x14ac:dyDescent="0.25">
      <c r="A6" s="7">
        <v>46205</v>
      </c>
      <c r="B6" s="12"/>
      <c r="C6" s="15">
        <v>215</v>
      </c>
      <c r="D6" s="15">
        <v>366</v>
      </c>
      <c r="E6" s="15">
        <v>3</v>
      </c>
      <c r="F6" s="15"/>
      <c r="G6" s="12"/>
      <c r="H6" s="12"/>
      <c r="I6" s="12"/>
      <c r="J6" s="12">
        <f t="shared" ref="J6:J18" si="0">B6*40+C6*75+D6*100+E6*160+F6*160+H6*80+I6*100</f>
        <v>53205</v>
      </c>
      <c r="K6" s="16">
        <v>95000</v>
      </c>
      <c r="L6" s="2">
        <f t="shared" ref="L6:L35" si="1">+J6+L5-K6</f>
        <v>14310</v>
      </c>
    </row>
    <row r="7" spans="1:12" x14ac:dyDescent="0.25">
      <c r="A7" s="7">
        <v>46206</v>
      </c>
      <c r="B7" s="12"/>
      <c r="C7" s="15">
        <v>490</v>
      </c>
      <c r="D7" s="15">
        <v>670</v>
      </c>
      <c r="E7" s="15">
        <v>20</v>
      </c>
      <c r="F7" s="15"/>
      <c r="G7" s="12"/>
      <c r="H7" s="12"/>
      <c r="I7" s="12"/>
      <c r="J7" s="12">
        <f t="shared" si="0"/>
        <v>106950</v>
      </c>
      <c r="K7" s="16">
        <v>117000</v>
      </c>
      <c r="L7" s="2">
        <f t="shared" si="1"/>
        <v>4260</v>
      </c>
    </row>
    <row r="8" spans="1:12" x14ac:dyDescent="0.25">
      <c r="A8" s="7">
        <v>46207</v>
      </c>
      <c r="B8" s="12"/>
      <c r="C8" s="15">
        <v>445</v>
      </c>
      <c r="D8" s="15">
        <v>665</v>
      </c>
      <c r="E8" s="15">
        <v>20</v>
      </c>
      <c r="F8" s="15"/>
      <c r="G8" s="12"/>
      <c r="H8" s="12"/>
      <c r="I8" s="12"/>
      <c r="J8" s="12">
        <f t="shared" si="0"/>
        <v>103075</v>
      </c>
      <c r="K8" s="16"/>
      <c r="L8" s="2">
        <f t="shared" si="1"/>
        <v>107335</v>
      </c>
    </row>
    <row r="9" spans="1:12" x14ac:dyDescent="0.25">
      <c r="A9" s="7">
        <v>46208</v>
      </c>
      <c r="B9" s="12"/>
      <c r="C9" s="15">
        <v>505</v>
      </c>
      <c r="D9" s="15">
        <v>615</v>
      </c>
      <c r="E9" s="15">
        <v>15</v>
      </c>
      <c r="F9" s="15"/>
      <c r="G9" s="12"/>
      <c r="H9" s="12"/>
      <c r="I9" s="15">
        <v>5</v>
      </c>
      <c r="J9" s="12">
        <f t="shared" si="0"/>
        <v>102275</v>
      </c>
      <c r="K9" s="16">
        <v>130000</v>
      </c>
      <c r="L9" s="2">
        <f t="shared" si="1"/>
        <v>79610</v>
      </c>
    </row>
    <row r="10" spans="1:12" x14ac:dyDescent="0.25">
      <c r="A10" s="7">
        <v>46209</v>
      </c>
      <c r="B10" s="12"/>
      <c r="C10" s="15">
        <v>349</v>
      </c>
      <c r="D10" s="15">
        <v>335</v>
      </c>
      <c r="E10" s="15">
        <v>3</v>
      </c>
      <c r="F10" s="15"/>
      <c r="G10" s="12"/>
      <c r="H10" s="12"/>
      <c r="I10" s="15"/>
      <c r="J10" s="12">
        <f t="shared" si="0"/>
        <v>60155</v>
      </c>
      <c r="K10" s="16">
        <f>100000+17500</f>
        <v>117500</v>
      </c>
      <c r="L10" s="2">
        <f t="shared" si="1"/>
        <v>22265</v>
      </c>
    </row>
    <row r="11" spans="1:12" x14ac:dyDescent="0.25">
      <c r="A11" s="7">
        <v>46210</v>
      </c>
      <c r="B11" s="12"/>
      <c r="C11" s="15">
        <v>235</v>
      </c>
      <c r="D11" s="15">
        <v>372</v>
      </c>
      <c r="E11" s="15">
        <v>2</v>
      </c>
      <c r="F11" s="15"/>
      <c r="G11" s="12"/>
      <c r="H11" s="12"/>
      <c r="I11" s="15"/>
      <c r="J11" s="12">
        <f t="shared" si="0"/>
        <v>55145</v>
      </c>
      <c r="K11" s="16"/>
      <c r="L11" s="2">
        <f t="shared" si="1"/>
        <v>77410</v>
      </c>
    </row>
    <row r="12" spans="1:12" x14ac:dyDescent="0.25">
      <c r="A12" s="7">
        <v>46211</v>
      </c>
      <c r="B12" s="12"/>
      <c r="C12" s="15">
        <v>230</v>
      </c>
      <c r="D12" s="15">
        <v>350</v>
      </c>
      <c r="E12" s="15">
        <v>2</v>
      </c>
      <c r="F12" s="15"/>
      <c r="G12" s="12"/>
      <c r="H12" s="12"/>
      <c r="I12" s="15"/>
      <c r="J12" s="12">
        <f t="shared" si="0"/>
        <v>52570</v>
      </c>
      <c r="K12" s="16">
        <v>95000</v>
      </c>
      <c r="L12" s="2">
        <f t="shared" si="1"/>
        <v>34980</v>
      </c>
    </row>
    <row r="13" spans="1:12" x14ac:dyDescent="0.25">
      <c r="A13" s="7">
        <v>46212</v>
      </c>
      <c r="B13" s="12"/>
      <c r="C13" s="15">
        <v>215</v>
      </c>
      <c r="D13" s="15">
        <v>296</v>
      </c>
      <c r="E13" s="15">
        <v>2</v>
      </c>
      <c r="F13" s="15"/>
      <c r="G13" s="12"/>
      <c r="H13" s="12"/>
      <c r="I13" s="15"/>
      <c r="J13" s="12">
        <f t="shared" si="0"/>
        <v>46045</v>
      </c>
      <c r="K13" s="16"/>
      <c r="L13" s="2">
        <f t="shared" si="1"/>
        <v>81025</v>
      </c>
    </row>
    <row r="14" spans="1:12" x14ac:dyDescent="0.25">
      <c r="A14" s="7">
        <v>46213</v>
      </c>
      <c r="B14" s="12"/>
      <c r="C14" s="15">
        <v>225</v>
      </c>
      <c r="D14" s="15">
        <v>340</v>
      </c>
      <c r="E14" s="15">
        <v>2</v>
      </c>
      <c r="F14" s="15"/>
      <c r="G14" s="12"/>
      <c r="H14" s="12"/>
      <c r="I14" s="15">
        <v>5</v>
      </c>
      <c r="J14" s="12">
        <f t="shared" si="0"/>
        <v>51695</v>
      </c>
      <c r="K14" s="16">
        <v>97500</v>
      </c>
      <c r="L14" s="2">
        <f t="shared" si="1"/>
        <v>35220</v>
      </c>
    </row>
    <row r="15" spans="1:12" x14ac:dyDescent="0.25">
      <c r="A15" s="7">
        <v>46214</v>
      </c>
      <c r="B15" s="12"/>
      <c r="C15" s="15">
        <v>200</v>
      </c>
      <c r="D15" s="15">
        <v>315</v>
      </c>
      <c r="E15" s="15">
        <v>2</v>
      </c>
      <c r="F15" s="15"/>
      <c r="G15" s="12"/>
      <c r="H15" s="12"/>
      <c r="I15" s="15"/>
      <c r="J15" s="12">
        <f t="shared" si="0"/>
        <v>46820</v>
      </c>
      <c r="K15" s="16"/>
      <c r="L15" s="2">
        <f t="shared" si="1"/>
        <v>82040</v>
      </c>
    </row>
    <row r="16" spans="1:12" x14ac:dyDescent="0.25">
      <c r="A16" s="7">
        <v>46215</v>
      </c>
      <c r="B16" s="12"/>
      <c r="C16" s="15">
        <v>520</v>
      </c>
      <c r="D16" s="15">
        <v>615</v>
      </c>
      <c r="E16" s="15">
        <v>15</v>
      </c>
      <c r="F16" s="15"/>
      <c r="G16" s="12"/>
      <c r="H16" s="12"/>
      <c r="I16" s="15"/>
      <c r="J16" s="12">
        <f t="shared" si="0"/>
        <v>102900</v>
      </c>
      <c r="K16" s="16"/>
      <c r="L16" s="2">
        <f t="shared" si="1"/>
        <v>184940</v>
      </c>
    </row>
    <row r="17" spans="1:12" x14ac:dyDescent="0.25">
      <c r="A17" s="7">
        <v>46216</v>
      </c>
      <c r="B17" s="12"/>
      <c r="C17" s="15">
        <v>130</v>
      </c>
      <c r="D17" s="15">
        <v>350</v>
      </c>
      <c r="E17" s="15">
        <v>2</v>
      </c>
      <c r="F17" s="15"/>
      <c r="G17" s="12"/>
      <c r="H17" s="12"/>
      <c r="I17" s="15">
        <v>5</v>
      </c>
      <c r="J17" s="12">
        <f t="shared" si="0"/>
        <v>45570</v>
      </c>
      <c r="K17" s="16">
        <v>180000</v>
      </c>
      <c r="L17" s="2">
        <f t="shared" si="1"/>
        <v>50510</v>
      </c>
    </row>
    <row r="18" spans="1:12" x14ac:dyDescent="0.25">
      <c r="A18" s="7">
        <v>46217</v>
      </c>
      <c r="B18" s="12"/>
      <c r="C18" s="12">
        <v>305</v>
      </c>
      <c r="D18" s="12">
        <v>320</v>
      </c>
      <c r="E18" s="12">
        <v>3</v>
      </c>
      <c r="F18" s="12"/>
      <c r="G18" s="12"/>
      <c r="H18" s="12"/>
      <c r="I18" s="12"/>
      <c r="J18" s="12">
        <f t="shared" si="0"/>
        <v>55355</v>
      </c>
      <c r="K18" s="16">
        <v>55000</v>
      </c>
      <c r="L18" s="2">
        <f t="shared" si="1"/>
        <v>50865</v>
      </c>
    </row>
    <row r="19" spans="1:12" x14ac:dyDescent="0.25">
      <c r="A19" s="7">
        <v>46218</v>
      </c>
      <c r="B19" s="12">
        <f>+'[1]LIVREUR EXTERNE'!B$4</f>
        <v>0</v>
      </c>
      <c r="C19" s="12">
        <f>+'[1]LIVREUR EXTERNE'!C$4</f>
        <v>270</v>
      </c>
      <c r="D19" s="12">
        <f>+'[1]LIVREUR EXTERNE'!D$4</f>
        <v>313</v>
      </c>
      <c r="E19" s="12">
        <f>+'[1]LIVREUR EXTERNE'!E$4</f>
        <v>3</v>
      </c>
      <c r="F19" s="12">
        <f>+'[1]LIVREUR EXTERNE'!F$4</f>
        <v>0</v>
      </c>
      <c r="G19" s="12">
        <f>+'[1]LIVREUR EXTERNE'!G$4</f>
        <v>0</v>
      </c>
      <c r="H19" s="12">
        <f>+'[1]LIVREUR EXTERNE'!H$4</f>
        <v>0</v>
      </c>
      <c r="I19" s="12">
        <f>+'[1]LIVREUR EXTERNE'!I$4</f>
        <v>0</v>
      </c>
      <c r="J19" s="12">
        <f>+'[1]LIVREUR EXTERNE'!J$4</f>
        <v>52030</v>
      </c>
      <c r="K19" s="5">
        <f>+'[1]LIVREUR EXTERNE'!N$4</f>
        <v>52000</v>
      </c>
      <c r="L19" s="2">
        <f t="shared" si="1"/>
        <v>50895</v>
      </c>
    </row>
    <row r="20" spans="1:12" x14ac:dyDescent="0.25">
      <c r="A20" s="7">
        <v>46219</v>
      </c>
      <c r="B20" s="12">
        <f>+'[2]LIVREUR EXTERNE'!B$4</f>
        <v>0</v>
      </c>
      <c r="C20" s="12">
        <f>+'[2]LIVREUR EXTERNE'!C$4</f>
        <v>1226</v>
      </c>
      <c r="D20" s="12">
        <f>+'[2]LIVREUR EXTERNE'!D$4</f>
        <v>710</v>
      </c>
      <c r="E20" s="12">
        <f>+'[2]LIVREUR EXTERNE'!E$4</f>
        <v>3</v>
      </c>
      <c r="F20" s="12">
        <f>+'[2]LIVREUR EXTERNE'!F$4</f>
        <v>0</v>
      </c>
      <c r="G20" s="12">
        <f>+'[2]LIVREUR EXTERNE'!G$4</f>
        <v>0</v>
      </c>
      <c r="H20" s="12">
        <f>+'[2]LIVREUR EXTERNE'!H$4</f>
        <v>0</v>
      </c>
      <c r="I20" s="12">
        <f>+'[2]LIVREUR EXTERNE'!I$4</f>
        <v>0</v>
      </c>
      <c r="J20" s="12">
        <f>+'[2]LIVREUR EXTERNE'!J$4</f>
        <v>163430</v>
      </c>
      <c r="K20" s="5">
        <f>+'[2]LIVREUR EXTERNE'!N$4</f>
        <v>115000</v>
      </c>
      <c r="L20" s="2">
        <f t="shared" si="1"/>
        <v>99325</v>
      </c>
    </row>
    <row r="21" spans="1:12" x14ac:dyDescent="0.25">
      <c r="A21" s="7">
        <v>46220</v>
      </c>
      <c r="B21" s="12">
        <f>+'[3]LIVREUR EXTERNE'!B$4</f>
        <v>0</v>
      </c>
      <c r="C21" s="12">
        <f>+'[3]LIVREUR EXTERNE'!C$4</f>
        <v>1280</v>
      </c>
      <c r="D21" s="12">
        <f>+'[3]LIVREUR EXTERNE'!D$4</f>
        <v>773</v>
      </c>
      <c r="E21" s="12">
        <f>+'[3]LIVREUR EXTERNE'!E$4</f>
        <v>0</v>
      </c>
      <c r="F21" s="12">
        <f>+'[3]LIVREUR EXTERNE'!F$4</f>
        <v>0</v>
      </c>
      <c r="G21" s="12">
        <f>+'[3]LIVREUR EXTERNE'!G$4</f>
        <v>0</v>
      </c>
      <c r="H21" s="12">
        <f>+'[3]LIVREUR EXTERNE'!H$4</f>
        <v>0</v>
      </c>
      <c r="I21" s="12">
        <f>+'[3]LIVREUR EXTERNE'!I$4</f>
        <v>0</v>
      </c>
      <c r="J21" s="12">
        <f>+'[3]LIVREUR EXTERNE'!J$4</f>
        <v>173300</v>
      </c>
      <c r="K21" s="5">
        <f>+'[3]LIVREUR EXTERNE'!N$4</f>
        <v>85000</v>
      </c>
      <c r="L21" s="2">
        <f t="shared" si="1"/>
        <v>187625</v>
      </c>
    </row>
    <row r="22" spans="1:12" x14ac:dyDescent="0.25">
      <c r="A22" s="7">
        <v>46221</v>
      </c>
      <c r="B22" s="12">
        <f>+'[4]LIVREUR EXTERNE'!B$4</f>
        <v>0</v>
      </c>
      <c r="C22" s="12">
        <f>+'[4]LIVREUR EXTERNE'!C$4</f>
        <v>260</v>
      </c>
      <c r="D22" s="12">
        <f>+'[4]LIVREUR EXTERNE'!D$4</f>
        <v>350</v>
      </c>
      <c r="E22" s="12">
        <f>+'[4]LIVREUR EXTERNE'!E$4</f>
        <v>3</v>
      </c>
      <c r="F22" s="12">
        <f>+'[4]LIVREUR EXTERNE'!F$4</f>
        <v>0</v>
      </c>
      <c r="G22" s="12">
        <f>+'[4]LIVREUR EXTERNE'!G$4</f>
        <v>0</v>
      </c>
      <c r="H22" s="12">
        <f>+'[4]LIVREUR EXTERNE'!H$4</f>
        <v>0</v>
      </c>
      <c r="I22" s="12">
        <f>+'[4]LIVREUR EXTERNE'!I$4</f>
        <v>0</v>
      </c>
      <c r="J22" s="12">
        <f>+'[4]LIVREUR EXTERNE'!J$4</f>
        <v>54980</v>
      </c>
      <c r="K22" s="5">
        <f>+'[4]LIVREUR EXTERNE'!N$4</f>
        <v>120000</v>
      </c>
      <c r="L22" s="2">
        <f t="shared" si="1"/>
        <v>122605</v>
      </c>
    </row>
    <row r="23" spans="1:12" x14ac:dyDescent="0.25">
      <c r="A23" s="7">
        <v>46222</v>
      </c>
      <c r="B23" s="12">
        <f>+'[5]LIVREUR EXTERNE'!B$4</f>
        <v>0</v>
      </c>
      <c r="C23" s="12">
        <f>+'[5]LIVREUR EXTERNE'!C$4</f>
        <v>300</v>
      </c>
      <c r="D23" s="12">
        <f>+'[5]LIVREUR EXTERNE'!D$4</f>
        <v>225</v>
      </c>
      <c r="E23" s="12">
        <f>+'[5]LIVREUR EXTERNE'!E$4</f>
        <v>0</v>
      </c>
      <c r="F23" s="12">
        <f>+'[5]LIVREUR EXTERNE'!F$4</f>
        <v>0</v>
      </c>
      <c r="G23" s="12">
        <f>+'[5]LIVREUR EXTERNE'!G$4</f>
        <v>0</v>
      </c>
      <c r="H23" s="12">
        <f>+'[5]LIVREUR EXTERNE'!H$4</f>
        <v>0</v>
      </c>
      <c r="I23" s="12">
        <f>+'[5]LIVREUR EXTERNE'!I$4</f>
        <v>0</v>
      </c>
      <c r="J23" s="12">
        <f>+'[5]LIVREUR EXTERNE'!J$4</f>
        <v>45000</v>
      </c>
      <c r="K23" s="5">
        <f>+'[5]LIVREUR EXTERNE'!N$4</f>
        <v>0</v>
      </c>
      <c r="L23" s="2">
        <f t="shared" si="1"/>
        <v>167605</v>
      </c>
    </row>
    <row r="24" spans="1:12" x14ac:dyDescent="0.25">
      <c r="A24" s="7">
        <v>46223</v>
      </c>
      <c r="B24" s="12">
        <f>+'[6]LIVREUR EXTERNE'!B$4</f>
        <v>0</v>
      </c>
      <c r="C24" s="12">
        <f>+'[6]LIVREUR EXTERNE'!C$4</f>
        <v>230</v>
      </c>
      <c r="D24" s="12">
        <f>+'[6]LIVREUR EXTERNE'!D$4</f>
        <v>346</v>
      </c>
      <c r="E24" s="12">
        <f>+'[6]LIVREUR EXTERNE'!E$4</f>
        <v>3</v>
      </c>
      <c r="F24" s="12">
        <f>+'[6]LIVREUR EXTERNE'!F$4</f>
        <v>0</v>
      </c>
      <c r="G24" s="12">
        <f>+'[6]LIVREUR EXTERNE'!G$4</f>
        <v>0</v>
      </c>
      <c r="H24" s="12">
        <f>+'[6]LIVREUR EXTERNE'!H$4</f>
        <v>0</v>
      </c>
      <c r="I24" s="12">
        <f>+'[6]LIVREUR EXTERNE'!I$4</f>
        <v>0</v>
      </c>
      <c r="J24" s="12">
        <f>+'[6]LIVREUR EXTERNE'!J$4</f>
        <v>52330</v>
      </c>
      <c r="K24" s="5">
        <f>+'[6]LIVREUR EXTERNE'!N$4</f>
        <v>127000</v>
      </c>
      <c r="L24" s="2">
        <f t="shared" si="1"/>
        <v>92935</v>
      </c>
    </row>
    <row r="25" spans="1:12" x14ac:dyDescent="0.25">
      <c r="A25" s="7">
        <v>46224</v>
      </c>
      <c r="B25" s="12">
        <f>+'[7]LIVREUR EXTERNE'!B$4</f>
        <v>0</v>
      </c>
      <c r="C25" s="12">
        <f>+'[7]LIVREUR EXTERNE'!C$4</f>
        <v>415</v>
      </c>
      <c r="D25" s="12">
        <f>+'[7]LIVREUR EXTERNE'!D$4</f>
        <v>350</v>
      </c>
      <c r="E25" s="12">
        <f>+'[7]LIVREUR EXTERNE'!E$4</f>
        <v>3</v>
      </c>
      <c r="F25" s="12">
        <f>+'[7]LIVREUR EXTERNE'!F$4</f>
        <v>0</v>
      </c>
      <c r="G25" s="12">
        <f>+'[7]LIVREUR EXTERNE'!G$4</f>
        <v>0</v>
      </c>
      <c r="H25" s="12">
        <f>+'[7]LIVREUR EXTERNE'!H$4</f>
        <v>0</v>
      </c>
      <c r="I25" s="12">
        <f>+'[7]LIVREUR EXTERNE'!I$4</f>
        <v>0</v>
      </c>
      <c r="J25" s="12">
        <f>+'[7]LIVREUR EXTERNE'!J$4</f>
        <v>66605</v>
      </c>
      <c r="K25" s="5">
        <f>+'[7]LIVREUR EXTERNE'!N$4</f>
        <v>54000</v>
      </c>
      <c r="L25" s="2">
        <f t="shared" si="1"/>
        <v>105540</v>
      </c>
    </row>
    <row r="26" spans="1:12" x14ac:dyDescent="0.25">
      <c r="A26" s="7">
        <v>46225</v>
      </c>
      <c r="B26" s="12">
        <f>+'[8]LIVREUR EXTERNE'!B$4</f>
        <v>0</v>
      </c>
      <c r="C26" s="12">
        <f>+'[8]LIVREUR EXTERNE'!C$4</f>
        <v>240</v>
      </c>
      <c r="D26" s="12">
        <f>+'[8]LIVREUR EXTERNE'!D$4</f>
        <v>325</v>
      </c>
      <c r="E26" s="12">
        <f>+'[8]LIVREUR EXTERNE'!E$4</f>
        <v>3</v>
      </c>
      <c r="F26" s="12">
        <f>+'[8]LIVREUR EXTERNE'!F$4</f>
        <v>0</v>
      </c>
      <c r="G26" s="12">
        <f>+'[8]LIVREUR EXTERNE'!G$4</f>
        <v>0</v>
      </c>
      <c r="H26" s="12">
        <f>+'[8]LIVREUR EXTERNE'!H$4</f>
        <v>20</v>
      </c>
      <c r="I26" s="12">
        <f>+'[8]LIVREUR EXTERNE'!I$4</f>
        <v>0</v>
      </c>
      <c r="J26" s="12">
        <f>+'[8]LIVREUR EXTERNE'!J$4</f>
        <v>52580</v>
      </c>
      <c r="K26" s="5">
        <f>+'[8]LIVREUR EXTERNE'!N$4</f>
        <v>0</v>
      </c>
      <c r="L26" s="2">
        <f t="shared" si="1"/>
        <v>158120</v>
      </c>
    </row>
    <row r="27" spans="1:12" x14ac:dyDescent="0.25">
      <c r="A27" s="7">
        <v>46226</v>
      </c>
      <c r="B27" s="12">
        <f>+'[9]LIVREUR EXTERNE'!B$4</f>
        <v>0</v>
      </c>
      <c r="C27" s="12">
        <f>+'[9]LIVREUR EXTERNE'!C$4</f>
        <v>225</v>
      </c>
      <c r="D27" s="12">
        <f>+'[9]LIVREUR EXTERNE'!D$4</f>
        <v>340</v>
      </c>
      <c r="E27" s="12">
        <f>+'[9]LIVREUR EXTERNE'!E$4</f>
        <v>2</v>
      </c>
      <c r="F27" s="12">
        <f>+'[9]LIVREUR EXTERNE'!F$4</f>
        <v>0</v>
      </c>
      <c r="G27" s="12">
        <f>+'[9]LIVREUR EXTERNE'!G$4</f>
        <v>0</v>
      </c>
      <c r="H27" s="12">
        <f>+'[9]LIVREUR EXTERNE'!H$4</f>
        <v>0</v>
      </c>
      <c r="I27" s="12">
        <f>+'[9]LIVREUR EXTERNE'!I$4</f>
        <v>0</v>
      </c>
      <c r="J27" s="12">
        <f>+'[9]LIVREUR EXTERNE'!J$4</f>
        <v>51195</v>
      </c>
      <c r="K27" s="5">
        <f>+'[9]LIVREUR EXTERNE'!N$4</f>
        <v>102500</v>
      </c>
      <c r="L27" s="2">
        <f t="shared" si="1"/>
        <v>106815</v>
      </c>
    </row>
    <row r="28" spans="1:12" x14ac:dyDescent="0.25">
      <c r="A28" s="7">
        <v>46227</v>
      </c>
      <c r="B28" s="12">
        <f>+'[10]LIVREUR EXTERNE'!B$4</f>
        <v>0</v>
      </c>
      <c r="C28" s="12">
        <f>+'[10]LIVREUR EXTERNE'!C$4</f>
        <v>215</v>
      </c>
      <c r="D28" s="12">
        <f>+'[10]LIVREUR EXTERNE'!D$4</f>
        <v>243</v>
      </c>
      <c r="E28" s="12">
        <f>+'[10]LIVREUR EXTERNE'!E$4</f>
        <v>3</v>
      </c>
      <c r="F28" s="12">
        <f>+'[10]LIVREUR EXTERNE'!F$4</f>
        <v>0</v>
      </c>
      <c r="G28" s="12">
        <f>+'[10]LIVREUR EXTERNE'!G$4</f>
        <v>0</v>
      </c>
      <c r="H28" s="12">
        <f>+'[10]LIVREUR EXTERNE'!H$4</f>
        <v>0</v>
      </c>
      <c r="I28" s="12">
        <f>+'[10]LIVREUR EXTERNE'!I$4</f>
        <v>0</v>
      </c>
      <c r="J28" s="12">
        <f>+'[10]LIVREUR EXTERNE'!J$4</f>
        <v>40905</v>
      </c>
      <c r="K28" s="5">
        <f>+'[10]LIVREUR EXTERNE'!N$4</f>
        <v>41000</v>
      </c>
      <c r="L28" s="2">
        <f t="shared" si="1"/>
        <v>106720</v>
      </c>
    </row>
    <row r="29" spans="1:12" x14ac:dyDescent="0.25">
      <c r="A29" s="7">
        <v>46228</v>
      </c>
      <c r="B29" s="12">
        <f>+'[11]LIVREUR EXTERNE'!B$4</f>
        <v>0</v>
      </c>
      <c r="C29" s="12">
        <f>+'[11]LIVREUR EXTERNE'!C$4</f>
        <v>200</v>
      </c>
      <c r="D29" s="12">
        <f>+'[11]LIVREUR EXTERNE'!D$4</f>
        <v>535</v>
      </c>
      <c r="E29" s="12">
        <f>+'[11]LIVREUR EXTERNE'!E$4</f>
        <v>8</v>
      </c>
      <c r="F29" s="12">
        <f>+'[11]LIVREUR EXTERNE'!F$4</f>
        <v>0</v>
      </c>
      <c r="G29" s="12">
        <f>+'[11]LIVREUR EXTERNE'!G$4</f>
        <v>0</v>
      </c>
      <c r="H29" s="12">
        <f>+'[11]LIVREUR EXTERNE'!H$4</f>
        <v>0</v>
      </c>
      <c r="I29" s="12">
        <f>+'[11]LIVREUR EXTERNE'!I$4</f>
        <v>0</v>
      </c>
      <c r="J29" s="12">
        <f>+'[11]LIVREUR EXTERNE'!J$4</f>
        <v>69780</v>
      </c>
      <c r="K29" s="5">
        <f>+'[11]LIVREUR EXTERNE'!N$4</f>
        <v>50000</v>
      </c>
      <c r="L29" s="2">
        <f t="shared" si="1"/>
        <v>126500</v>
      </c>
    </row>
    <row r="30" spans="1:12" x14ac:dyDescent="0.25">
      <c r="A30" s="7">
        <v>46229</v>
      </c>
      <c r="B30" s="12">
        <f>+'[12]LIVREUR EXTERNE'!B$4</f>
        <v>0</v>
      </c>
      <c r="C30" s="12">
        <f>+'[12]LIVREUR EXTERNE'!C$4</f>
        <v>245</v>
      </c>
      <c r="D30" s="12">
        <f>+'[12]LIVREUR EXTERNE'!D$4</f>
        <v>530</v>
      </c>
      <c r="E30" s="12">
        <f>+'[12]LIVREUR EXTERNE'!E$4</f>
        <v>13</v>
      </c>
      <c r="F30" s="12">
        <f>+'[12]LIVREUR EXTERNE'!F$4</f>
        <v>0</v>
      </c>
      <c r="G30" s="12">
        <f>+'[12]LIVREUR EXTERNE'!G$4</f>
        <v>0</v>
      </c>
      <c r="H30" s="12">
        <f>+'[12]LIVREUR EXTERNE'!H$4</f>
        <v>0</v>
      </c>
      <c r="I30" s="12">
        <f>+'[12]LIVREUR EXTERNE'!I$4</f>
        <v>0</v>
      </c>
      <c r="J30" s="12">
        <f>+'[12]LIVREUR EXTERNE'!J$4</f>
        <v>73455</v>
      </c>
      <c r="K30" s="5">
        <f>+'[12]LIVREUR EXTERNE'!N$4</f>
        <v>21600</v>
      </c>
      <c r="L30" s="2">
        <f t="shared" si="1"/>
        <v>178355</v>
      </c>
    </row>
    <row r="31" spans="1:12" x14ac:dyDescent="0.25">
      <c r="A31" s="7">
        <v>46230</v>
      </c>
      <c r="B31" s="12">
        <f>+'[13]LIVREUR EXTERNE'!B$4</f>
        <v>0</v>
      </c>
      <c r="C31" s="12">
        <f>+'[13]LIVREUR EXTERNE'!C$4</f>
        <v>220</v>
      </c>
      <c r="D31" s="12">
        <f>+'[13]LIVREUR EXTERNE'!D$4</f>
        <v>535</v>
      </c>
      <c r="E31" s="12">
        <f>+'[13]LIVREUR EXTERNE'!E$4</f>
        <v>13</v>
      </c>
      <c r="F31" s="12">
        <f>+'[13]LIVREUR EXTERNE'!F$4</f>
        <v>0</v>
      </c>
      <c r="G31" s="12">
        <f>+'[13]LIVREUR EXTERNE'!G$4</f>
        <v>0</v>
      </c>
      <c r="H31" s="12">
        <f>+'[13]LIVREUR EXTERNE'!H$4</f>
        <v>0</v>
      </c>
      <c r="I31" s="12">
        <f>+'[13]LIVREUR EXTERNE'!I$4</f>
        <v>0</v>
      </c>
      <c r="J31" s="12">
        <f>+'[13]LIVREUR EXTERNE'!J$4</f>
        <v>72080</v>
      </c>
      <c r="K31" s="5">
        <f>+'[13]LIVREUR EXTERNE'!N$4</f>
        <v>125000</v>
      </c>
      <c r="L31" s="2">
        <f t="shared" si="1"/>
        <v>125435</v>
      </c>
    </row>
    <row r="32" spans="1:12" x14ac:dyDescent="0.25">
      <c r="A32" s="7">
        <v>46231</v>
      </c>
      <c r="B32" s="12">
        <f>+'[14]LIVREUR EXTERNE'!B$4</f>
        <v>0</v>
      </c>
      <c r="C32" s="12">
        <f>+'[14]LIVREUR EXTERNE'!C$4</f>
        <v>250</v>
      </c>
      <c r="D32" s="12">
        <f>+'[14]LIVREUR EXTERNE'!D$4</f>
        <v>470</v>
      </c>
      <c r="E32" s="12">
        <f>+'[14]LIVREUR EXTERNE'!E$4</f>
        <v>13</v>
      </c>
      <c r="F32" s="12">
        <f>+'[14]LIVREUR EXTERNE'!F$4</f>
        <v>0</v>
      </c>
      <c r="G32" s="12">
        <f>+'[14]LIVREUR EXTERNE'!G$4</f>
        <v>0</v>
      </c>
      <c r="H32" s="12">
        <f>+'[14]LIVREUR EXTERNE'!H$4</f>
        <v>0</v>
      </c>
      <c r="I32" s="12">
        <f>+'[14]LIVREUR EXTERNE'!I$4</f>
        <v>0</v>
      </c>
      <c r="J32" s="12">
        <f>+'[14]LIVREUR EXTERNE'!J$4</f>
        <v>67830</v>
      </c>
      <c r="K32" s="5">
        <f>+'[14]LIVREUR EXTERNE'!N$4</f>
        <v>68600</v>
      </c>
      <c r="L32" s="2">
        <f t="shared" si="1"/>
        <v>124665</v>
      </c>
    </row>
    <row r="33" spans="1:12" x14ac:dyDescent="0.25">
      <c r="A33" s="7">
        <v>46232</v>
      </c>
      <c r="B33" s="12">
        <f>+'[15]LIVREUR EXTERNE'!B$4</f>
        <v>0</v>
      </c>
      <c r="C33" s="12">
        <f>+'[15]LIVREUR EXTERNE'!C$4</f>
        <v>250</v>
      </c>
      <c r="D33" s="12">
        <f>+'[15]LIVREUR EXTERNE'!D$4</f>
        <v>535</v>
      </c>
      <c r="E33" s="12">
        <f>+'[15]LIVREUR EXTERNE'!E$4</f>
        <v>15</v>
      </c>
      <c r="F33" s="12">
        <f>+'[15]LIVREUR EXTERNE'!F$4</f>
        <v>0</v>
      </c>
      <c r="G33" s="12">
        <f>+'[15]LIVREUR EXTERNE'!G$4</f>
        <v>0</v>
      </c>
      <c r="H33" s="12">
        <f>+'[15]LIVREUR EXTERNE'!H$4</f>
        <v>0</v>
      </c>
      <c r="I33" s="12">
        <f>+'[15]LIVREUR EXTERNE'!I$4</f>
        <v>0</v>
      </c>
      <c r="J33" s="12">
        <f>+'[15]LIVREUR EXTERNE'!J$4</f>
        <v>74650</v>
      </c>
      <c r="K33" s="5">
        <f>+'[15]LIVREUR EXTERNE'!N$4</f>
        <v>76650</v>
      </c>
      <c r="L33" s="2">
        <f t="shared" si="1"/>
        <v>122665</v>
      </c>
    </row>
    <row r="34" spans="1:12" x14ac:dyDescent="0.25">
      <c r="A34" s="7">
        <v>46233</v>
      </c>
      <c r="B34" s="12">
        <f>+'[16]LIVREUR EXTERNE'!B$4</f>
        <v>0</v>
      </c>
      <c r="C34" s="12">
        <f>+'[16]LIVREUR EXTERNE'!C$4</f>
        <v>935</v>
      </c>
      <c r="D34" s="12">
        <f>+'[16]LIVREUR EXTERNE'!D$4</f>
        <v>915</v>
      </c>
      <c r="E34" s="12">
        <f>+'[16]LIVREUR EXTERNE'!E$4</f>
        <v>13</v>
      </c>
      <c r="F34" s="12">
        <f>+'[16]LIVREUR EXTERNE'!F$4</f>
        <v>0</v>
      </c>
      <c r="G34" s="12">
        <f>+'[16]LIVREUR EXTERNE'!G$4</f>
        <v>0</v>
      </c>
      <c r="H34" s="12">
        <f>+'[16]LIVREUR EXTERNE'!H$4</f>
        <v>0</v>
      </c>
      <c r="I34" s="12">
        <f>+'[16]LIVREUR EXTERNE'!I$4</f>
        <v>0</v>
      </c>
      <c r="J34" s="12">
        <f>+'[16]LIVREUR EXTERNE'!J$4</f>
        <v>163705</v>
      </c>
      <c r="K34" s="5">
        <f>+'[16]LIVREUR EXTERNE'!N$4</f>
        <v>163800</v>
      </c>
      <c r="L34" s="2">
        <f t="shared" si="1"/>
        <v>122570</v>
      </c>
    </row>
    <row r="35" spans="1:12" x14ac:dyDescent="0.25">
      <c r="A35" s="7">
        <v>46234</v>
      </c>
      <c r="B35" s="12">
        <f>+'[17]LIVREUR EXTERNE'!B$4</f>
        <v>0</v>
      </c>
      <c r="C35" s="12">
        <f>+'[17]LIVREUR EXTERNE'!C$4</f>
        <v>920</v>
      </c>
      <c r="D35" s="12">
        <f>+'[17]LIVREUR EXTERNE'!D$4</f>
        <v>906</v>
      </c>
      <c r="E35" s="12">
        <f>+'[17]LIVREUR EXTERNE'!E$4</f>
        <v>12</v>
      </c>
      <c r="F35" s="12">
        <f>+'[17]LIVREUR EXTERNE'!F$4</f>
        <v>0</v>
      </c>
      <c r="G35" s="12">
        <f>+'[17]LIVREUR EXTERNE'!G$4</f>
        <v>0</v>
      </c>
      <c r="H35" s="12">
        <f>+'[17]LIVREUR EXTERNE'!H$4</f>
        <v>0</v>
      </c>
      <c r="I35" s="12">
        <f>+'[17]LIVREUR EXTERNE'!I$4</f>
        <v>0</v>
      </c>
      <c r="J35" s="12">
        <f>+'[17]LIVREUR EXTERNE'!J$4</f>
        <v>161520</v>
      </c>
      <c r="K35" s="5">
        <f>+'[17]LIVREUR EXTERNE'!N$4</f>
        <v>167025</v>
      </c>
      <c r="L35" s="2">
        <f t="shared" si="1"/>
        <v>117065</v>
      </c>
    </row>
    <row r="36" spans="1:12" s="4" customFormat="1" x14ac:dyDescent="0.25">
      <c r="A36" s="8" t="s">
        <v>13</v>
      </c>
      <c r="B36" s="11">
        <f>+SUM(B4:B35)</f>
        <v>0</v>
      </c>
      <c r="C36" s="11">
        <f t="shared" ref="C36:K36" si="2">+SUM(C4:C35)</f>
        <v>12020</v>
      </c>
      <c r="D36" s="11">
        <f t="shared" si="2"/>
        <v>14360</v>
      </c>
      <c r="E36" s="11">
        <f t="shared" si="2"/>
        <v>204</v>
      </c>
      <c r="F36" s="11">
        <f t="shared" si="2"/>
        <v>0</v>
      </c>
      <c r="G36" s="11">
        <f t="shared" si="2"/>
        <v>0</v>
      </c>
      <c r="H36" s="11">
        <f t="shared" si="2"/>
        <v>20</v>
      </c>
      <c r="I36" s="11">
        <f t="shared" si="2"/>
        <v>15</v>
      </c>
      <c r="J36" s="11">
        <f t="shared" si="2"/>
        <v>2373240</v>
      </c>
      <c r="K36" s="9">
        <f t="shared" si="2"/>
        <v>2256175</v>
      </c>
      <c r="L36" s="9">
        <f>+K36-J36</f>
        <v>-117065</v>
      </c>
    </row>
  </sheetData>
  <mergeCells count="6">
    <mergeCell ref="A1:I1"/>
    <mergeCell ref="A2:A3"/>
    <mergeCell ref="B2:G2"/>
    <mergeCell ref="J2:J3"/>
    <mergeCell ref="L2:L3"/>
    <mergeCell ref="K2:K3"/>
  </mergeCells>
  <pageMargins left="2.0699999999999998" right="0" top="0.54" bottom="0" header="0.27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6"/>
  <sheetViews>
    <sheetView workbookViewId="0">
      <selection activeCell="K18" sqref="K18"/>
    </sheetView>
  </sheetViews>
  <sheetFormatPr baseColWidth="10" defaultRowHeight="15" x14ac:dyDescent="0.25"/>
  <cols>
    <col min="1" max="1" width="10.85546875" bestFit="1" customWidth="1"/>
    <col min="2" max="9" width="7.28515625" customWidth="1"/>
    <col min="10" max="10" width="12" bestFit="1" customWidth="1"/>
    <col min="11" max="11" width="10.7109375" bestFit="1" customWidth="1"/>
    <col min="12" max="12" width="9.7109375" customWidth="1"/>
  </cols>
  <sheetData>
    <row r="1" spans="1:12" x14ac:dyDescent="0.25">
      <c r="A1" s="18" t="s">
        <v>11</v>
      </c>
      <c r="B1" s="18"/>
      <c r="C1" s="18"/>
      <c r="D1" s="18"/>
      <c r="E1" s="18"/>
      <c r="F1" s="18"/>
      <c r="G1" s="18"/>
      <c r="H1" s="18"/>
      <c r="I1" s="18"/>
      <c r="J1" s="11" t="s">
        <v>14</v>
      </c>
      <c r="K1" s="9"/>
      <c r="L1" s="10">
        <v>46204</v>
      </c>
    </row>
    <row r="2" spans="1:12" x14ac:dyDescent="0.25">
      <c r="A2" s="19" t="s">
        <v>10</v>
      </c>
      <c r="B2" s="21" t="s">
        <v>0</v>
      </c>
      <c r="C2" s="21"/>
      <c r="D2" s="21"/>
      <c r="E2" s="21"/>
      <c r="F2" s="21"/>
      <c r="G2" s="21"/>
      <c r="H2" s="1" t="s">
        <v>1</v>
      </c>
      <c r="I2" s="2" t="s">
        <v>2</v>
      </c>
      <c r="J2" s="21" t="s">
        <v>3</v>
      </c>
      <c r="K2" s="20" t="s">
        <v>8</v>
      </c>
      <c r="L2" s="20" t="s">
        <v>9</v>
      </c>
    </row>
    <row r="3" spans="1:12" ht="30" x14ac:dyDescent="0.25">
      <c r="A3" s="19"/>
      <c r="B3" s="1">
        <v>40</v>
      </c>
      <c r="C3" s="1">
        <v>75</v>
      </c>
      <c r="D3" s="1">
        <v>100</v>
      </c>
      <c r="E3" s="1" t="s">
        <v>4</v>
      </c>
      <c r="F3" s="1" t="s">
        <v>5</v>
      </c>
      <c r="G3" s="1" t="s">
        <v>6</v>
      </c>
      <c r="H3" s="1">
        <v>80</v>
      </c>
      <c r="I3" s="1">
        <v>100</v>
      </c>
      <c r="J3" s="21"/>
      <c r="K3" s="20"/>
      <c r="L3" s="20"/>
    </row>
    <row r="4" spans="1:12" x14ac:dyDescent="0.25">
      <c r="A4" s="6" t="s">
        <v>7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</row>
    <row r="5" spans="1:12" x14ac:dyDescent="0.25">
      <c r="A5" s="7">
        <v>46204</v>
      </c>
      <c r="B5" s="12"/>
      <c r="C5" s="14">
        <v>400</v>
      </c>
      <c r="D5" s="14">
        <v>60</v>
      </c>
      <c r="E5" s="12"/>
      <c r="F5" s="12"/>
      <c r="G5" s="12"/>
      <c r="H5" s="12"/>
      <c r="I5" s="12"/>
      <c r="J5" s="12">
        <f>+B5*40+C5*75+D5*100+F5*160+E5*160+H5*80+I5*100</f>
        <v>36000</v>
      </c>
      <c r="K5" s="17">
        <v>67500</v>
      </c>
      <c r="L5" s="2">
        <f>+J5+L4-K5</f>
        <v>-31500</v>
      </c>
    </row>
    <row r="6" spans="1:12" x14ac:dyDescent="0.25">
      <c r="A6" s="7">
        <v>46205</v>
      </c>
      <c r="B6" s="12"/>
      <c r="C6" s="14">
        <v>300</v>
      </c>
      <c r="D6" s="14">
        <v>50</v>
      </c>
      <c r="E6" s="12"/>
      <c r="F6" s="12"/>
      <c r="G6" s="12"/>
      <c r="H6" s="12"/>
      <c r="I6" s="12"/>
      <c r="J6" s="12">
        <f t="shared" ref="J6:J18" si="0">+B6*40+C6*75+D6*100+F6*160+E6*160+H6*80+I6*100</f>
        <v>27500</v>
      </c>
      <c r="K6" s="17"/>
      <c r="L6" s="2">
        <f t="shared" ref="L6:L35" si="1">+J6+L5-K6</f>
        <v>-4000</v>
      </c>
    </row>
    <row r="7" spans="1:12" x14ac:dyDescent="0.25">
      <c r="A7" s="7">
        <v>46206</v>
      </c>
      <c r="B7" s="12"/>
      <c r="C7" s="14">
        <v>400</v>
      </c>
      <c r="D7" s="14">
        <v>50</v>
      </c>
      <c r="E7" s="12"/>
      <c r="F7" s="12"/>
      <c r="G7" s="12"/>
      <c r="H7" s="12"/>
      <c r="I7" s="12"/>
      <c r="J7" s="12">
        <f t="shared" si="0"/>
        <v>35000</v>
      </c>
      <c r="K7" s="17">
        <v>95000</v>
      </c>
      <c r="L7" s="2">
        <f t="shared" si="1"/>
        <v>-64000</v>
      </c>
    </row>
    <row r="8" spans="1:12" x14ac:dyDescent="0.25">
      <c r="A8" s="7">
        <v>46207</v>
      </c>
      <c r="B8" s="12"/>
      <c r="C8" s="14">
        <v>450</v>
      </c>
      <c r="D8" s="14">
        <v>50</v>
      </c>
      <c r="E8" s="12"/>
      <c r="F8" s="12"/>
      <c r="G8" s="12"/>
      <c r="H8" s="12"/>
      <c r="I8" s="12"/>
      <c r="J8" s="12">
        <f t="shared" si="0"/>
        <v>38750</v>
      </c>
      <c r="K8" s="17"/>
      <c r="L8" s="2">
        <f t="shared" si="1"/>
        <v>-25250</v>
      </c>
    </row>
    <row r="9" spans="1:12" x14ac:dyDescent="0.25">
      <c r="A9" s="7">
        <v>46208</v>
      </c>
      <c r="B9" s="12"/>
      <c r="C9" s="14">
        <v>405</v>
      </c>
      <c r="D9" s="14">
        <v>50</v>
      </c>
      <c r="E9" s="12"/>
      <c r="F9" s="12"/>
      <c r="G9" s="12"/>
      <c r="H9" s="12"/>
      <c r="I9" s="12"/>
      <c r="J9" s="12">
        <f t="shared" si="0"/>
        <v>35375</v>
      </c>
      <c r="K9" s="17">
        <v>70000</v>
      </c>
      <c r="L9" s="2">
        <f t="shared" si="1"/>
        <v>-59875</v>
      </c>
    </row>
    <row r="10" spans="1:12" x14ac:dyDescent="0.25">
      <c r="A10" s="7">
        <v>46209</v>
      </c>
      <c r="B10" s="12"/>
      <c r="C10" s="14">
        <v>400</v>
      </c>
      <c r="D10" s="14">
        <v>50</v>
      </c>
      <c r="E10" s="12"/>
      <c r="F10" s="12"/>
      <c r="G10" s="12"/>
      <c r="H10" s="12"/>
      <c r="I10" s="12"/>
      <c r="J10" s="12">
        <f t="shared" si="0"/>
        <v>35000</v>
      </c>
      <c r="K10" s="17"/>
      <c r="L10" s="2">
        <f t="shared" si="1"/>
        <v>-24875</v>
      </c>
    </row>
    <row r="11" spans="1:12" x14ac:dyDescent="0.25">
      <c r="A11" s="7">
        <v>46210</v>
      </c>
      <c r="B11" s="12"/>
      <c r="C11" s="14">
        <v>400</v>
      </c>
      <c r="D11" s="14">
        <v>50</v>
      </c>
      <c r="E11" s="12"/>
      <c r="F11" s="12"/>
      <c r="G11" s="12"/>
      <c r="H11" s="12"/>
      <c r="I11" s="12"/>
      <c r="J11" s="12">
        <f t="shared" si="0"/>
        <v>35000</v>
      </c>
      <c r="K11" s="17">
        <v>56000</v>
      </c>
      <c r="L11" s="2">
        <f t="shared" si="1"/>
        <v>-45875</v>
      </c>
    </row>
    <row r="12" spans="1:12" x14ac:dyDescent="0.25">
      <c r="A12" s="7">
        <v>46211</v>
      </c>
      <c r="B12" s="12"/>
      <c r="C12" s="14">
        <v>400</v>
      </c>
      <c r="D12" s="14">
        <v>50</v>
      </c>
      <c r="E12" s="12"/>
      <c r="F12" s="12"/>
      <c r="G12" s="12"/>
      <c r="H12" s="12"/>
      <c r="I12" s="12"/>
      <c r="J12" s="12">
        <f t="shared" si="0"/>
        <v>35000</v>
      </c>
      <c r="K12" s="17"/>
      <c r="L12" s="2">
        <f t="shared" si="1"/>
        <v>-10875</v>
      </c>
    </row>
    <row r="13" spans="1:12" x14ac:dyDescent="0.25">
      <c r="A13" s="7">
        <v>46212</v>
      </c>
      <c r="B13" s="12"/>
      <c r="C13" s="14">
        <v>300</v>
      </c>
      <c r="D13" s="14">
        <v>50</v>
      </c>
      <c r="E13" s="12"/>
      <c r="F13" s="12"/>
      <c r="G13" s="12"/>
      <c r="H13" s="12"/>
      <c r="I13" s="12"/>
      <c r="J13" s="12">
        <f t="shared" si="0"/>
        <v>27500</v>
      </c>
      <c r="K13" s="17">
        <v>60000</v>
      </c>
      <c r="L13" s="2">
        <f t="shared" si="1"/>
        <v>-43375</v>
      </c>
    </row>
    <row r="14" spans="1:12" x14ac:dyDescent="0.25">
      <c r="A14" s="7">
        <v>46213</v>
      </c>
      <c r="B14" s="12"/>
      <c r="C14" s="14">
        <v>350</v>
      </c>
      <c r="D14" s="14">
        <v>50</v>
      </c>
      <c r="E14" s="12"/>
      <c r="F14" s="12"/>
      <c r="G14" s="12"/>
      <c r="H14" s="12"/>
      <c r="I14" s="12"/>
      <c r="J14" s="12">
        <f t="shared" si="0"/>
        <v>31250</v>
      </c>
      <c r="K14" s="17"/>
      <c r="L14" s="2">
        <f t="shared" si="1"/>
        <v>-12125</v>
      </c>
    </row>
    <row r="15" spans="1:12" x14ac:dyDescent="0.25">
      <c r="A15" s="7">
        <v>46214</v>
      </c>
      <c r="B15" s="12"/>
      <c r="C15" s="14">
        <v>400</v>
      </c>
      <c r="D15" s="14">
        <v>50</v>
      </c>
      <c r="E15" s="12"/>
      <c r="F15" s="12"/>
      <c r="G15" s="12"/>
      <c r="H15" s="12"/>
      <c r="I15" s="12"/>
      <c r="J15" s="12">
        <f t="shared" si="0"/>
        <v>35000</v>
      </c>
      <c r="K15" s="17">
        <v>62000</v>
      </c>
      <c r="L15" s="2">
        <f t="shared" si="1"/>
        <v>-39125</v>
      </c>
    </row>
    <row r="16" spans="1:12" x14ac:dyDescent="0.25">
      <c r="A16" s="7">
        <v>46215</v>
      </c>
      <c r="B16" s="12"/>
      <c r="C16" s="14">
        <v>400</v>
      </c>
      <c r="D16" s="14">
        <v>50</v>
      </c>
      <c r="E16" s="12"/>
      <c r="F16" s="12"/>
      <c r="G16" s="12"/>
      <c r="H16" s="12"/>
      <c r="I16" s="12"/>
      <c r="J16" s="12">
        <f t="shared" si="0"/>
        <v>35000</v>
      </c>
      <c r="K16" s="17"/>
      <c r="L16" s="2">
        <f t="shared" si="1"/>
        <v>-4125</v>
      </c>
    </row>
    <row r="17" spans="1:12" x14ac:dyDescent="0.25">
      <c r="A17" s="7">
        <v>46216</v>
      </c>
      <c r="B17" s="12"/>
      <c r="C17" s="14">
        <v>360</v>
      </c>
      <c r="D17" s="14">
        <v>50</v>
      </c>
      <c r="E17" s="12"/>
      <c r="F17" s="12"/>
      <c r="G17" s="12"/>
      <c r="H17" s="12"/>
      <c r="I17" s="12"/>
      <c r="J17" s="12">
        <f t="shared" si="0"/>
        <v>32000</v>
      </c>
      <c r="K17" s="17">
        <v>64000</v>
      </c>
      <c r="L17" s="2">
        <f t="shared" si="1"/>
        <v>-36125</v>
      </c>
    </row>
    <row r="18" spans="1:12" x14ac:dyDescent="0.25">
      <c r="A18" s="7">
        <v>46217</v>
      </c>
      <c r="B18" s="12"/>
      <c r="C18" s="12">
        <v>360</v>
      </c>
      <c r="D18" s="12">
        <v>50</v>
      </c>
      <c r="E18" s="12"/>
      <c r="F18" s="12"/>
      <c r="G18" s="12"/>
      <c r="H18" s="12"/>
      <c r="I18" s="12"/>
      <c r="J18" s="12">
        <f t="shared" si="0"/>
        <v>32000</v>
      </c>
      <c r="K18" s="5"/>
      <c r="L18" s="2">
        <f t="shared" si="1"/>
        <v>-4125</v>
      </c>
    </row>
    <row r="19" spans="1:12" x14ac:dyDescent="0.25">
      <c r="A19" s="7">
        <v>46218</v>
      </c>
      <c r="B19" s="12">
        <f>+'[1]LIVREUR EXTERNE'!B$5</f>
        <v>0</v>
      </c>
      <c r="C19" s="12">
        <f>+'[1]LIVREUR EXTERNE'!C$5</f>
        <v>370</v>
      </c>
      <c r="D19" s="12">
        <f>+'[1]LIVREUR EXTERNE'!D$5</f>
        <v>50</v>
      </c>
      <c r="E19" s="12">
        <f>+'[1]LIVREUR EXTERNE'!E$5</f>
        <v>0</v>
      </c>
      <c r="F19" s="12">
        <f>+'[1]LIVREUR EXTERNE'!F$5</f>
        <v>0</v>
      </c>
      <c r="G19" s="12">
        <f>+'[1]LIVREUR EXTERNE'!G$5</f>
        <v>0</v>
      </c>
      <c r="H19" s="12">
        <f>+'[1]LIVREUR EXTERNE'!H$5</f>
        <v>0</v>
      </c>
      <c r="I19" s="12">
        <f>+'[1]LIVREUR EXTERNE'!I$5</f>
        <v>0</v>
      </c>
      <c r="J19" s="12">
        <f>+'[1]LIVREUR EXTERNE'!J$5</f>
        <v>32750</v>
      </c>
      <c r="K19" s="5">
        <f>+'[1]LIVREUR EXTERNE'!N$5</f>
        <v>64000</v>
      </c>
      <c r="L19" s="2">
        <f t="shared" si="1"/>
        <v>-35375</v>
      </c>
    </row>
    <row r="20" spans="1:12" x14ac:dyDescent="0.25">
      <c r="A20" s="7">
        <v>46219</v>
      </c>
      <c r="B20" s="12">
        <f>+'[2]LIVREUR EXTERNE'!B$5</f>
        <v>0</v>
      </c>
      <c r="C20" s="12">
        <f>+'[2]LIVREUR EXTERNE'!C$5</f>
        <v>360</v>
      </c>
      <c r="D20" s="12">
        <f>+'[2]LIVREUR EXTERNE'!D$5</f>
        <v>50</v>
      </c>
      <c r="E20" s="12">
        <f>+'[2]LIVREUR EXTERNE'!E$5</f>
        <v>0</v>
      </c>
      <c r="F20" s="12">
        <f>+'[2]LIVREUR EXTERNE'!F$5</f>
        <v>0</v>
      </c>
      <c r="G20" s="12">
        <f>+'[2]LIVREUR EXTERNE'!G$5</f>
        <v>0</v>
      </c>
      <c r="H20" s="12">
        <f>+'[2]LIVREUR EXTERNE'!H$5</f>
        <v>0</v>
      </c>
      <c r="I20" s="12">
        <f>+'[2]LIVREUR EXTERNE'!I$5</f>
        <v>0</v>
      </c>
      <c r="J20" s="12">
        <f>+'[2]LIVREUR EXTERNE'!J$5</f>
        <v>32000</v>
      </c>
      <c r="K20" s="5">
        <f>+'[2]LIVREUR EXTERNE'!N$5</f>
        <v>0</v>
      </c>
      <c r="L20" s="2">
        <f t="shared" si="1"/>
        <v>-3375</v>
      </c>
    </row>
    <row r="21" spans="1:12" x14ac:dyDescent="0.25">
      <c r="A21" s="7">
        <v>46220</v>
      </c>
      <c r="B21" s="12">
        <f>+'[3]LIVREUR EXTERNE'!B$5</f>
        <v>0</v>
      </c>
      <c r="C21" s="12">
        <f>+'[3]LIVREUR EXTERNE'!C$5</f>
        <v>370</v>
      </c>
      <c r="D21" s="12">
        <f>+'[3]LIVREUR EXTERNE'!D$5</f>
        <v>50</v>
      </c>
      <c r="E21" s="12">
        <f>+'[3]LIVREUR EXTERNE'!E$5</f>
        <v>0</v>
      </c>
      <c r="F21" s="12">
        <f>+'[3]LIVREUR EXTERNE'!F$5</f>
        <v>0</v>
      </c>
      <c r="G21" s="12">
        <f>+'[3]LIVREUR EXTERNE'!G$5</f>
        <v>0</v>
      </c>
      <c r="H21" s="12">
        <f>+'[3]LIVREUR EXTERNE'!H$5</f>
        <v>0</v>
      </c>
      <c r="I21" s="12">
        <f>+'[3]LIVREUR EXTERNE'!I$5</f>
        <v>0</v>
      </c>
      <c r="J21" s="12">
        <f>+'[3]LIVREUR EXTERNE'!J$5</f>
        <v>32750</v>
      </c>
      <c r="K21" s="5">
        <f>+'[3]LIVREUR EXTERNE'!N$5</f>
        <v>62000</v>
      </c>
      <c r="L21" s="2">
        <f t="shared" si="1"/>
        <v>-32625</v>
      </c>
    </row>
    <row r="22" spans="1:12" x14ac:dyDescent="0.25">
      <c r="A22" s="7">
        <v>46221</v>
      </c>
      <c r="B22" s="12">
        <f>+'[4]LIVREUR EXTERNE'!B$5</f>
        <v>0</v>
      </c>
      <c r="C22" s="12">
        <f>+'[4]LIVREUR EXTERNE'!C$5</f>
        <v>420</v>
      </c>
      <c r="D22" s="12">
        <f>+'[4]LIVREUR EXTERNE'!D$5</f>
        <v>50</v>
      </c>
      <c r="E22" s="12">
        <f>+'[4]LIVREUR EXTERNE'!E$5</f>
        <v>0</v>
      </c>
      <c r="F22" s="12">
        <f>+'[4]LIVREUR EXTERNE'!F$5</f>
        <v>0</v>
      </c>
      <c r="G22" s="12">
        <f>+'[4]LIVREUR EXTERNE'!G$5</f>
        <v>0</v>
      </c>
      <c r="H22" s="12">
        <f>+'[4]LIVREUR EXTERNE'!H$5</f>
        <v>0</v>
      </c>
      <c r="I22" s="12">
        <f>+'[4]LIVREUR EXTERNE'!I$5</f>
        <v>0</v>
      </c>
      <c r="J22" s="12">
        <f>+'[4]LIVREUR EXTERNE'!J$5</f>
        <v>36500</v>
      </c>
      <c r="K22" s="5">
        <f>+'[4]LIVREUR EXTERNE'!N$5</f>
        <v>0</v>
      </c>
      <c r="L22" s="2">
        <f t="shared" si="1"/>
        <v>3875</v>
      </c>
    </row>
    <row r="23" spans="1:12" x14ac:dyDescent="0.25">
      <c r="A23" s="7">
        <v>46222</v>
      </c>
      <c r="B23" s="12">
        <f>+'[5]LIVREUR EXTERNE'!B$5</f>
        <v>0</v>
      </c>
      <c r="C23" s="12">
        <f>+'[5]LIVREUR EXTERNE'!C$5</f>
        <v>405</v>
      </c>
      <c r="D23" s="12">
        <f>+'[5]LIVREUR EXTERNE'!D$5</f>
        <v>50</v>
      </c>
      <c r="E23" s="12">
        <f>+'[5]LIVREUR EXTERNE'!E$5</f>
        <v>0</v>
      </c>
      <c r="F23" s="12">
        <f>+'[5]LIVREUR EXTERNE'!F$5</f>
        <v>0</v>
      </c>
      <c r="G23" s="12">
        <f>+'[5]LIVREUR EXTERNE'!G$5</f>
        <v>0</v>
      </c>
      <c r="H23" s="12">
        <f>+'[5]LIVREUR EXTERNE'!H$5</f>
        <v>0</v>
      </c>
      <c r="I23" s="12">
        <f>+'[5]LIVREUR EXTERNE'!I$5</f>
        <v>0</v>
      </c>
      <c r="J23" s="12">
        <f>+'[5]LIVREUR EXTERNE'!J$5</f>
        <v>35375</v>
      </c>
      <c r="K23" s="5">
        <f>+'[5]LIVREUR EXTERNE'!N$5</f>
        <v>65000</v>
      </c>
      <c r="L23" s="2">
        <f t="shared" si="1"/>
        <v>-25750</v>
      </c>
    </row>
    <row r="24" spans="1:12" x14ac:dyDescent="0.25">
      <c r="A24" s="7">
        <v>46223</v>
      </c>
      <c r="B24" s="12">
        <f>+'[6]LIVREUR EXTERNE'!B$5</f>
        <v>0</v>
      </c>
      <c r="C24" s="12">
        <f>+'[6]LIVREUR EXTERNE'!C$5</f>
        <v>400</v>
      </c>
      <c r="D24" s="12">
        <f>+'[6]LIVREUR EXTERNE'!D$5</f>
        <v>55</v>
      </c>
      <c r="E24" s="12">
        <f>+'[6]LIVREUR EXTERNE'!E$5</f>
        <v>0</v>
      </c>
      <c r="F24" s="12">
        <f>+'[6]LIVREUR EXTERNE'!F$5</f>
        <v>0</v>
      </c>
      <c r="G24" s="12">
        <f>+'[6]LIVREUR EXTERNE'!G$5</f>
        <v>0</v>
      </c>
      <c r="H24" s="12">
        <f>+'[6]LIVREUR EXTERNE'!H$5</f>
        <v>0</v>
      </c>
      <c r="I24" s="12">
        <f>+'[6]LIVREUR EXTERNE'!I$5</f>
        <v>0</v>
      </c>
      <c r="J24" s="12">
        <f>+'[6]LIVREUR EXTERNE'!J$5</f>
        <v>35500</v>
      </c>
      <c r="K24" s="5">
        <f>+'[6]LIVREUR EXTERNE'!N$5</f>
        <v>0</v>
      </c>
      <c r="L24" s="2">
        <f t="shared" si="1"/>
        <v>9750</v>
      </c>
    </row>
    <row r="25" spans="1:12" x14ac:dyDescent="0.25">
      <c r="A25" s="7">
        <v>46224</v>
      </c>
      <c r="B25" s="12">
        <f>+'[7]LIVREUR EXTERNE'!B$5</f>
        <v>0</v>
      </c>
      <c r="C25" s="12">
        <f>+'[7]LIVREUR EXTERNE'!C$5</f>
        <v>400</v>
      </c>
      <c r="D25" s="12">
        <f>+'[7]LIVREUR EXTERNE'!D$5</f>
        <v>55</v>
      </c>
      <c r="E25" s="12">
        <f>+'[7]LIVREUR EXTERNE'!E$5</f>
        <v>0</v>
      </c>
      <c r="F25" s="12">
        <f>+'[7]LIVREUR EXTERNE'!F$5</f>
        <v>0</v>
      </c>
      <c r="G25" s="12">
        <f>+'[7]LIVREUR EXTERNE'!G$5</f>
        <v>0</v>
      </c>
      <c r="H25" s="12">
        <f>+'[7]LIVREUR EXTERNE'!H$5</f>
        <v>0</v>
      </c>
      <c r="I25" s="12">
        <f>+'[7]LIVREUR EXTERNE'!I$5</f>
        <v>0</v>
      </c>
      <c r="J25" s="12">
        <f>+'[7]LIVREUR EXTERNE'!J$5</f>
        <v>35500</v>
      </c>
      <c r="K25" s="5">
        <f>+'[7]LIVREUR EXTERNE'!N$5</f>
        <v>62000</v>
      </c>
      <c r="L25" s="2">
        <f t="shared" si="1"/>
        <v>-16750</v>
      </c>
    </row>
    <row r="26" spans="1:12" x14ac:dyDescent="0.25">
      <c r="A26" s="7">
        <v>46225</v>
      </c>
      <c r="B26" s="12">
        <f>+'[8]LIVREUR EXTERNE'!B$5</f>
        <v>0</v>
      </c>
      <c r="C26" s="12">
        <f>+'[8]LIVREUR EXTERNE'!C$5</f>
        <v>400</v>
      </c>
      <c r="D26" s="12">
        <f>+'[8]LIVREUR EXTERNE'!D$5</f>
        <v>55</v>
      </c>
      <c r="E26" s="12">
        <f>+'[8]LIVREUR EXTERNE'!E$5</f>
        <v>0</v>
      </c>
      <c r="F26" s="12">
        <f>+'[8]LIVREUR EXTERNE'!F$5</f>
        <v>0</v>
      </c>
      <c r="G26" s="12">
        <f>+'[8]LIVREUR EXTERNE'!G$5</f>
        <v>0</v>
      </c>
      <c r="H26" s="12">
        <f>+'[8]LIVREUR EXTERNE'!H$5</f>
        <v>0</v>
      </c>
      <c r="I26" s="12">
        <f>+'[8]LIVREUR EXTERNE'!I$5</f>
        <v>0</v>
      </c>
      <c r="J26" s="12">
        <f>+'[8]LIVREUR EXTERNE'!J$5</f>
        <v>35500</v>
      </c>
      <c r="K26" s="5">
        <f>+'[8]LIVREUR EXTERNE'!N$5</f>
        <v>0</v>
      </c>
      <c r="L26" s="2">
        <f t="shared" si="1"/>
        <v>18750</v>
      </c>
    </row>
    <row r="27" spans="1:12" x14ac:dyDescent="0.25">
      <c r="A27" s="7">
        <v>46226</v>
      </c>
      <c r="B27" s="12">
        <f>+'[9]LIVREUR EXTERNE'!B$5</f>
        <v>0</v>
      </c>
      <c r="C27" s="12">
        <f>+'[9]LIVREUR EXTERNE'!C$5</f>
        <v>350</v>
      </c>
      <c r="D27" s="12">
        <f>+'[9]LIVREUR EXTERNE'!D$5</f>
        <v>55</v>
      </c>
      <c r="E27" s="12">
        <f>+'[9]LIVREUR EXTERNE'!E$5</f>
        <v>0</v>
      </c>
      <c r="F27" s="12">
        <f>+'[9]LIVREUR EXTERNE'!F$5</f>
        <v>0</v>
      </c>
      <c r="G27" s="12">
        <f>+'[9]LIVREUR EXTERNE'!G$5</f>
        <v>0</v>
      </c>
      <c r="H27" s="12">
        <f>+'[9]LIVREUR EXTERNE'!H$5</f>
        <v>0</v>
      </c>
      <c r="I27" s="12">
        <f>+'[9]LIVREUR EXTERNE'!I$5</f>
        <v>0</v>
      </c>
      <c r="J27" s="12">
        <f>+'[9]LIVREUR EXTERNE'!J$5</f>
        <v>31750</v>
      </c>
      <c r="K27" s="5">
        <f>+'[9]LIVREUR EXTERNE'!N$5</f>
        <v>60000</v>
      </c>
      <c r="L27" s="2">
        <f t="shared" si="1"/>
        <v>-9500</v>
      </c>
    </row>
    <row r="28" spans="1:12" x14ac:dyDescent="0.25">
      <c r="A28" s="7">
        <v>46227</v>
      </c>
      <c r="B28" s="12">
        <f>+'[10]LIVREUR EXTERNE'!B$5</f>
        <v>0</v>
      </c>
      <c r="C28" s="12">
        <f>+'[10]LIVREUR EXTERNE'!C$5</f>
        <v>400</v>
      </c>
      <c r="D28" s="12">
        <f>+'[10]LIVREUR EXTERNE'!D$5</f>
        <v>55</v>
      </c>
      <c r="E28" s="12">
        <f>+'[10]LIVREUR EXTERNE'!E$5</f>
        <v>0</v>
      </c>
      <c r="F28" s="12">
        <f>+'[10]LIVREUR EXTERNE'!F$5</f>
        <v>0</v>
      </c>
      <c r="G28" s="12">
        <f>+'[10]LIVREUR EXTERNE'!G$5</f>
        <v>0</v>
      </c>
      <c r="H28" s="12">
        <f>+'[10]LIVREUR EXTERNE'!H$5</f>
        <v>0</v>
      </c>
      <c r="I28" s="12">
        <f>+'[10]LIVREUR EXTERNE'!I$5</f>
        <v>0</v>
      </c>
      <c r="J28" s="12">
        <f>+'[10]LIVREUR EXTERNE'!J$5</f>
        <v>35500</v>
      </c>
      <c r="K28" s="5">
        <f>+'[10]LIVREUR EXTERNE'!N$5</f>
        <v>0</v>
      </c>
      <c r="L28" s="2">
        <f t="shared" si="1"/>
        <v>26000</v>
      </c>
    </row>
    <row r="29" spans="1:12" x14ac:dyDescent="0.25">
      <c r="A29" s="7">
        <v>46228</v>
      </c>
      <c r="B29" s="12">
        <f>+'[11]LIVREUR EXTERNE'!B$5</f>
        <v>0</v>
      </c>
      <c r="C29" s="12">
        <f>+'[11]LIVREUR EXTERNE'!C$5</f>
        <v>420</v>
      </c>
      <c r="D29" s="12">
        <f>+'[11]LIVREUR EXTERNE'!D$5</f>
        <v>45</v>
      </c>
      <c r="E29" s="12">
        <f>+'[11]LIVREUR EXTERNE'!E$5</f>
        <v>0</v>
      </c>
      <c r="F29" s="12">
        <f>+'[11]LIVREUR EXTERNE'!F$5</f>
        <v>0</v>
      </c>
      <c r="G29" s="12">
        <f>+'[11]LIVREUR EXTERNE'!G$5</f>
        <v>0</v>
      </c>
      <c r="H29" s="12">
        <f>+'[11]LIVREUR EXTERNE'!H$5</f>
        <v>0</v>
      </c>
      <c r="I29" s="12">
        <f>+'[11]LIVREUR EXTERNE'!I$5</f>
        <v>10</v>
      </c>
      <c r="J29" s="12">
        <f>+'[11]LIVREUR EXTERNE'!J$5</f>
        <v>37000</v>
      </c>
      <c r="K29" s="5">
        <f>+'[11]LIVREUR EXTERNE'!N$5</f>
        <v>67000</v>
      </c>
      <c r="L29" s="2">
        <f t="shared" si="1"/>
        <v>-4000</v>
      </c>
    </row>
    <row r="30" spans="1:12" x14ac:dyDescent="0.25">
      <c r="A30" s="7">
        <v>46229</v>
      </c>
      <c r="B30" s="12">
        <f>+'[12]LIVREUR EXTERNE'!B$5</f>
        <v>0</v>
      </c>
      <c r="C30" s="12">
        <f>+'[12]LIVREUR EXTERNE'!C$5</f>
        <v>410</v>
      </c>
      <c r="D30" s="12">
        <f>+'[12]LIVREUR EXTERNE'!D$5</f>
        <v>50</v>
      </c>
      <c r="E30" s="12">
        <f>+'[12]LIVREUR EXTERNE'!E$5</f>
        <v>0</v>
      </c>
      <c r="F30" s="12">
        <f>+'[12]LIVREUR EXTERNE'!F$5</f>
        <v>0</v>
      </c>
      <c r="G30" s="12">
        <f>+'[12]LIVREUR EXTERNE'!G$5</f>
        <v>0</v>
      </c>
      <c r="H30" s="12">
        <f>+'[12]LIVREUR EXTERNE'!H$5</f>
        <v>0</v>
      </c>
      <c r="I30" s="12">
        <f>+'[12]LIVREUR EXTERNE'!I$5</f>
        <v>0</v>
      </c>
      <c r="J30" s="12">
        <f>+'[12]LIVREUR EXTERNE'!J$5</f>
        <v>35750</v>
      </c>
      <c r="K30" s="5">
        <f>+'[12]LIVREUR EXTERNE'!N$5</f>
        <v>0</v>
      </c>
      <c r="L30" s="2">
        <f t="shared" si="1"/>
        <v>31750</v>
      </c>
    </row>
    <row r="31" spans="1:12" x14ac:dyDescent="0.25">
      <c r="A31" s="7">
        <v>46230</v>
      </c>
      <c r="B31" s="12">
        <f>+'[13]LIVREUR EXTERNE'!B$5</f>
        <v>0</v>
      </c>
      <c r="C31" s="12">
        <f>+'[13]LIVREUR EXTERNE'!C$5</f>
        <v>400</v>
      </c>
      <c r="D31" s="12">
        <f>+'[13]LIVREUR EXTERNE'!D$5</f>
        <v>55</v>
      </c>
      <c r="E31" s="12">
        <f>+'[13]LIVREUR EXTERNE'!E$5</f>
        <v>0</v>
      </c>
      <c r="F31" s="12">
        <f>+'[13]LIVREUR EXTERNE'!E$5</f>
        <v>0</v>
      </c>
      <c r="G31" s="12">
        <f>+'[13]LIVREUR EXTERNE'!F$5</f>
        <v>0</v>
      </c>
      <c r="H31" s="12">
        <f>+'[13]LIVREUR EXTERNE'!G$5</f>
        <v>0</v>
      </c>
      <c r="I31" s="12">
        <f>+'[13]LIVREUR EXTERNE'!H$5</f>
        <v>0</v>
      </c>
      <c r="J31" s="12">
        <f>+'[13]LIVREUR EXTERNE'!I$5</f>
        <v>0</v>
      </c>
      <c r="K31" s="5">
        <f>+'[13]LIVREUR EXTERNE'!N$5</f>
        <v>55000</v>
      </c>
      <c r="L31" s="2">
        <f t="shared" si="1"/>
        <v>-23250</v>
      </c>
    </row>
    <row r="32" spans="1:12" x14ac:dyDescent="0.25">
      <c r="A32" s="7">
        <v>46231</v>
      </c>
      <c r="B32" s="12">
        <f>+'[14]LIVREUR EXTERNE'!B$5</f>
        <v>0</v>
      </c>
      <c r="C32" s="12">
        <f>+'[14]LIVREUR EXTERNE'!C$5</f>
        <v>400</v>
      </c>
      <c r="D32" s="12">
        <f>+'[14]LIVREUR EXTERNE'!D$5</f>
        <v>50</v>
      </c>
      <c r="E32" s="12">
        <f>+'[14]LIVREUR EXTERNE'!E$5</f>
        <v>0</v>
      </c>
      <c r="F32" s="12">
        <f>+'[14]LIVREUR EXTERNE'!F$5</f>
        <v>0</v>
      </c>
      <c r="G32" s="12">
        <f>+'[14]LIVREUR EXTERNE'!G$5</f>
        <v>0</v>
      </c>
      <c r="H32" s="12">
        <f>+'[14]LIVREUR EXTERNE'!H$5</f>
        <v>0</v>
      </c>
      <c r="I32" s="12">
        <f>+'[14]LIVREUR EXTERNE'!I$5</f>
        <v>0</v>
      </c>
      <c r="J32" s="12">
        <f>+'[14]LIVREUR EXTERNE'!J$5</f>
        <v>35000</v>
      </c>
      <c r="K32" s="5">
        <f>+'[14]LIVREUR EXTERNE'!N$5</f>
        <v>0</v>
      </c>
      <c r="L32" s="2">
        <f t="shared" si="1"/>
        <v>11750</v>
      </c>
    </row>
    <row r="33" spans="1:12" x14ac:dyDescent="0.25">
      <c r="A33" s="7">
        <v>46232</v>
      </c>
      <c r="B33" s="12">
        <f>+'[15]LIVREUR EXTERNE'!B$5</f>
        <v>0</v>
      </c>
      <c r="C33" s="12">
        <f>+'[15]LIVREUR EXTERNE'!C$5</f>
        <v>365</v>
      </c>
      <c r="D33" s="12">
        <f>+'[15]LIVREUR EXTERNE'!D$5</f>
        <v>50</v>
      </c>
      <c r="E33" s="12">
        <f>+'[15]LIVREUR EXTERNE'!E$5</f>
        <v>0</v>
      </c>
      <c r="F33" s="12">
        <f>+'[15]LIVREUR EXTERNE'!F$5</f>
        <v>0</v>
      </c>
      <c r="G33" s="12">
        <f>+'[15]LIVREUR EXTERNE'!G$5</f>
        <v>0</v>
      </c>
      <c r="H33" s="12">
        <f>+'[15]LIVREUR EXTERNE'!H$5</f>
        <v>0</v>
      </c>
      <c r="I33" s="12">
        <f>+'[15]LIVREUR EXTERNE'!I$5</f>
        <v>0</v>
      </c>
      <c r="J33" s="12">
        <f>+'[15]LIVREUR EXTERNE'!J$5</f>
        <v>32375</v>
      </c>
      <c r="K33" s="5">
        <f>+'[15]LIVREUR EXTERNE'!N$5</f>
        <v>68500</v>
      </c>
      <c r="L33" s="2">
        <f t="shared" si="1"/>
        <v>-24375</v>
      </c>
    </row>
    <row r="34" spans="1:12" x14ac:dyDescent="0.25">
      <c r="A34" s="7">
        <v>46233</v>
      </c>
      <c r="B34" s="12">
        <f>+'[16]LIVREUR EXTERNE'!B$5</f>
        <v>0</v>
      </c>
      <c r="C34" s="12">
        <f>+'[16]LIVREUR EXTERNE'!C$5</f>
        <v>300</v>
      </c>
      <c r="D34" s="12">
        <f>+'[16]LIVREUR EXTERNE'!D$5</f>
        <v>50</v>
      </c>
      <c r="E34" s="12">
        <f>+'[16]LIVREUR EXTERNE'!E$5</f>
        <v>0</v>
      </c>
      <c r="F34" s="12">
        <f>+'[16]LIVREUR EXTERNE'!F$5</f>
        <v>0</v>
      </c>
      <c r="G34" s="12">
        <f>+'[16]LIVREUR EXTERNE'!G$5</f>
        <v>0</v>
      </c>
      <c r="H34" s="12">
        <f>+'[16]LIVREUR EXTERNE'!H$5</f>
        <v>0</v>
      </c>
      <c r="I34" s="12">
        <f>+'[16]LIVREUR EXTERNE'!I$5</f>
        <v>0</v>
      </c>
      <c r="J34" s="12">
        <f>+'[16]LIVREUR EXTERNE'!J$5</f>
        <v>27500</v>
      </c>
      <c r="K34" s="5">
        <f>+'[16]LIVREUR EXTERNE'!N$5</f>
        <v>0</v>
      </c>
      <c r="L34" s="2">
        <f t="shared" si="1"/>
        <v>3125</v>
      </c>
    </row>
    <row r="35" spans="1:12" x14ac:dyDescent="0.25">
      <c r="A35" s="7">
        <v>46234</v>
      </c>
      <c r="B35" s="12">
        <f>+'[17]LIVREUR EXTERNE'!B$5</f>
        <v>0</v>
      </c>
      <c r="C35" s="12">
        <f>+'[17]LIVREUR EXTERNE'!C$5</f>
        <v>360</v>
      </c>
      <c r="D35" s="12">
        <f>+'[17]LIVREUR EXTERNE'!D$5</f>
        <v>50</v>
      </c>
      <c r="E35" s="12">
        <f>+'[17]LIVREUR EXTERNE'!E$5</f>
        <v>0</v>
      </c>
      <c r="F35" s="12">
        <f>+'[17]LIVREUR EXTERNE'!F$5</f>
        <v>0</v>
      </c>
      <c r="G35" s="12">
        <f>+'[17]LIVREUR EXTERNE'!G$5</f>
        <v>0</v>
      </c>
      <c r="H35" s="12">
        <f>+'[17]LIVREUR EXTERNE'!H$5</f>
        <v>0</v>
      </c>
      <c r="I35" s="12">
        <f>+'[17]LIVREUR EXTERNE'!I$5</f>
        <v>0</v>
      </c>
      <c r="J35" s="12">
        <f>+'[17]LIVREUR EXTERNE'!J$5</f>
        <v>32000</v>
      </c>
      <c r="K35" s="5">
        <f>+'[17]LIVREUR EXTERNE'!N$5</f>
        <v>61000</v>
      </c>
      <c r="L35" s="2">
        <f t="shared" si="1"/>
        <v>-25875</v>
      </c>
    </row>
    <row r="36" spans="1:12" x14ac:dyDescent="0.25">
      <c r="A36" s="8" t="s">
        <v>13</v>
      </c>
      <c r="B36" s="11">
        <f>+SUM(B4:B35)</f>
        <v>0</v>
      </c>
      <c r="C36" s="11">
        <f t="shared" ref="C36:K36" si="2">+SUM(C4:C35)</f>
        <v>11855</v>
      </c>
      <c r="D36" s="11">
        <f t="shared" si="2"/>
        <v>1585</v>
      </c>
      <c r="E36" s="11">
        <f t="shared" si="2"/>
        <v>0</v>
      </c>
      <c r="F36" s="11">
        <f t="shared" si="2"/>
        <v>0</v>
      </c>
      <c r="G36" s="11">
        <f t="shared" si="2"/>
        <v>0</v>
      </c>
      <c r="H36" s="11">
        <f t="shared" si="2"/>
        <v>0</v>
      </c>
      <c r="I36" s="11">
        <f t="shared" si="2"/>
        <v>10</v>
      </c>
      <c r="J36" s="11">
        <f t="shared" si="2"/>
        <v>1013125</v>
      </c>
      <c r="K36" s="9">
        <f t="shared" si="2"/>
        <v>1039000</v>
      </c>
      <c r="L36" s="9">
        <f>+K36-J36</f>
        <v>25875</v>
      </c>
    </row>
  </sheetData>
  <mergeCells count="6">
    <mergeCell ref="L2:L3"/>
    <mergeCell ref="A1:I1"/>
    <mergeCell ref="A2:A3"/>
    <mergeCell ref="B2:G2"/>
    <mergeCell ref="J2:J3"/>
    <mergeCell ref="K2:K3"/>
  </mergeCells>
  <pageMargins left="1.57" right="0" top="0.49" bottom="0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6"/>
  <sheetViews>
    <sheetView workbookViewId="0">
      <selection activeCell="I25" sqref="I25"/>
    </sheetView>
  </sheetViews>
  <sheetFormatPr baseColWidth="10" defaultRowHeight="15" x14ac:dyDescent="0.25"/>
  <cols>
    <col min="1" max="1" width="10.85546875" bestFit="1" customWidth="1"/>
    <col min="2" max="9" width="7.28515625" customWidth="1"/>
    <col min="10" max="10" width="9.7109375" bestFit="1" customWidth="1"/>
    <col min="11" max="11" width="10.7109375" bestFit="1" customWidth="1"/>
    <col min="12" max="12" width="9.7109375" bestFit="1" customWidth="1"/>
  </cols>
  <sheetData>
    <row r="1" spans="1:12" x14ac:dyDescent="0.25">
      <c r="A1" s="18" t="s">
        <v>11</v>
      </c>
      <c r="B1" s="18"/>
      <c r="C1" s="18"/>
      <c r="D1" s="18"/>
      <c r="E1" s="18"/>
      <c r="F1" s="18"/>
      <c r="G1" s="18"/>
      <c r="H1" s="18"/>
      <c r="I1" s="18"/>
      <c r="J1" s="11" t="s">
        <v>15</v>
      </c>
      <c r="K1" s="9"/>
      <c r="L1" s="10">
        <v>46204</v>
      </c>
    </row>
    <row r="2" spans="1:12" x14ac:dyDescent="0.25">
      <c r="A2" s="19" t="s">
        <v>10</v>
      </c>
      <c r="B2" s="21" t="s">
        <v>0</v>
      </c>
      <c r="C2" s="21"/>
      <c r="D2" s="21"/>
      <c r="E2" s="21"/>
      <c r="F2" s="21"/>
      <c r="G2" s="21"/>
      <c r="H2" s="1" t="s">
        <v>1</v>
      </c>
      <c r="I2" s="2" t="s">
        <v>2</v>
      </c>
      <c r="J2" s="21" t="s">
        <v>3</v>
      </c>
      <c r="K2" s="20" t="s">
        <v>8</v>
      </c>
      <c r="L2" s="20" t="s">
        <v>9</v>
      </c>
    </row>
    <row r="3" spans="1:12" ht="30" x14ac:dyDescent="0.25">
      <c r="A3" s="19"/>
      <c r="B3" s="1">
        <v>40</v>
      </c>
      <c r="C3" s="1">
        <v>75</v>
      </c>
      <c r="D3" s="1">
        <v>100</v>
      </c>
      <c r="E3" s="1" t="s">
        <v>4</v>
      </c>
      <c r="F3" s="1" t="s">
        <v>5</v>
      </c>
      <c r="G3" s="1" t="s">
        <v>6</v>
      </c>
      <c r="H3" s="1">
        <v>80</v>
      </c>
      <c r="I3" s="1">
        <v>100</v>
      </c>
      <c r="J3" s="21"/>
      <c r="K3" s="20"/>
      <c r="L3" s="20"/>
    </row>
    <row r="4" spans="1:12" x14ac:dyDescent="0.25">
      <c r="A4" s="6" t="s">
        <v>7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</row>
    <row r="5" spans="1:12" x14ac:dyDescent="0.25">
      <c r="A5" s="7">
        <v>46204</v>
      </c>
      <c r="B5" s="12"/>
      <c r="C5" s="14">
        <v>1070</v>
      </c>
      <c r="D5" s="14">
        <v>400</v>
      </c>
      <c r="E5" s="14">
        <v>5</v>
      </c>
      <c r="F5" s="14"/>
      <c r="G5" s="12"/>
      <c r="H5" s="12"/>
      <c r="I5" s="14">
        <v>10</v>
      </c>
      <c r="J5" s="12">
        <f>+B5*40+C5*75+D5*100+E5*160+F5*160+H5*80+I5*100</f>
        <v>122050</v>
      </c>
      <c r="K5" s="17">
        <v>395000</v>
      </c>
      <c r="L5" s="2">
        <f>+J5+L4-K5</f>
        <v>-272950</v>
      </c>
    </row>
    <row r="6" spans="1:12" x14ac:dyDescent="0.25">
      <c r="A6" s="7">
        <v>46205</v>
      </c>
      <c r="B6" s="12"/>
      <c r="C6" s="14">
        <v>1030</v>
      </c>
      <c r="D6" s="14">
        <v>425</v>
      </c>
      <c r="E6" s="14">
        <v>5</v>
      </c>
      <c r="F6" s="14"/>
      <c r="G6" s="12"/>
      <c r="H6" s="12"/>
      <c r="I6" s="14">
        <v>20</v>
      </c>
      <c r="J6" s="12">
        <f t="shared" ref="J6:J18" si="0">+B6*40+C6*75+D6*100+E6*160+F6*160+H6*80+I6*100</f>
        <v>122550</v>
      </c>
      <c r="K6" s="17"/>
      <c r="L6" s="2">
        <f t="shared" ref="L6:L35" si="1">+J6+L5-K6</f>
        <v>-150400</v>
      </c>
    </row>
    <row r="7" spans="1:12" x14ac:dyDescent="0.25">
      <c r="A7" s="7">
        <v>46206</v>
      </c>
      <c r="B7" s="12"/>
      <c r="C7" s="14">
        <v>1370</v>
      </c>
      <c r="D7" s="14">
        <v>500</v>
      </c>
      <c r="E7" s="14">
        <v>5</v>
      </c>
      <c r="F7" s="14"/>
      <c r="G7" s="12"/>
      <c r="H7" s="12"/>
      <c r="I7" s="14"/>
      <c r="J7" s="12">
        <f t="shared" si="0"/>
        <v>153550</v>
      </c>
      <c r="K7" s="17"/>
      <c r="L7" s="2">
        <f t="shared" si="1"/>
        <v>3150</v>
      </c>
    </row>
    <row r="8" spans="1:12" x14ac:dyDescent="0.25">
      <c r="A8" s="7">
        <v>46207</v>
      </c>
      <c r="B8" s="12"/>
      <c r="C8" s="14">
        <v>810</v>
      </c>
      <c r="D8" s="14">
        <v>400</v>
      </c>
      <c r="E8" s="14">
        <v>5</v>
      </c>
      <c r="F8" s="14"/>
      <c r="G8" s="12"/>
      <c r="H8" s="12"/>
      <c r="I8" s="14">
        <v>10</v>
      </c>
      <c r="J8" s="12">
        <f t="shared" si="0"/>
        <v>102550</v>
      </c>
      <c r="K8" s="17">
        <v>350000</v>
      </c>
      <c r="L8" s="2">
        <f t="shared" si="1"/>
        <v>-244300</v>
      </c>
    </row>
    <row r="9" spans="1:12" x14ac:dyDescent="0.25">
      <c r="A9" s="7">
        <v>46208</v>
      </c>
      <c r="B9" s="12"/>
      <c r="C9" s="14">
        <v>1075</v>
      </c>
      <c r="D9" s="14">
        <v>475</v>
      </c>
      <c r="E9" s="14">
        <v>5</v>
      </c>
      <c r="F9" s="14"/>
      <c r="G9" s="12"/>
      <c r="H9" s="12"/>
      <c r="I9" s="12"/>
      <c r="J9" s="12">
        <f t="shared" si="0"/>
        <v>128925</v>
      </c>
      <c r="K9" s="17"/>
      <c r="L9" s="2">
        <f t="shared" si="1"/>
        <v>-115375</v>
      </c>
    </row>
    <row r="10" spans="1:12" x14ac:dyDescent="0.25">
      <c r="A10" s="7">
        <v>46209</v>
      </c>
      <c r="B10" s="12"/>
      <c r="C10" s="14">
        <v>1420</v>
      </c>
      <c r="D10" s="14">
        <v>525</v>
      </c>
      <c r="E10" s="14">
        <v>5</v>
      </c>
      <c r="F10" s="14"/>
      <c r="G10" s="12"/>
      <c r="H10" s="12"/>
      <c r="I10" s="12"/>
      <c r="J10" s="12">
        <f t="shared" si="0"/>
        <v>159800</v>
      </c>
      <c r="K10" s="17"/>
      <c r="L10" s="2">
        <f t="shared" si="1"/>
        <v>44425</v>
      </c>
    </row>
    <row r="11" spans="1:12" x14ac:dyDescent="0.25">
      <c r="A11" s="7">
        <v>46210</v>
      </c>
      <c r="B11" s="12"/>
      <c r="C11" s="14">
        <v>1090</v>
      </c>
      <c r="D11" s="14">
        <v>425</v>
      </c>
      <c r="E11" s="14">
        <v>5</v>
      </c>
      <c r="F11" s="14"/>
      <c r="G11" s="12"/>
      <c r="H11" s="12"/>
      <c r="I11" s="12"/>
      <c r="J11" s="12">
        <f t="shared" si="0"/>
        <v>125050</v>
      </c>
      <c r="K11" s="17">
        <v>400000</v>
      </c>
      <c r="L11" s="2">
        <f t="shared" si="1"/>
        <v>-230525</v>
      </c>
    </row>
    <row r="12" spans="1:12" x14ac:dyDescent="0.25">
      <c r="A12" s="7">
        <v>46211</v>
      </c>
      <c r="B12" s="12"/>
      <c r="C12" s="14">
        <v>1165</v>
      </c>
      <c r="D12" s="14">
        <v>400</v>
      </c>
      <c r="E12" s="14">
        <v>5</v>
      </c>
      <c r="F12" s="14"/>
      <c r="G12" s="12"/>
      <c r="H12" s="12"/>
      <c r="I12" s="12"/>
      <c r="J12" s="12">
        <f t="shared" si="0"/>
        <v>128175</v>
      </c>
      <c r="K12" s="17"/>
      <c r="L12" s="2">
        <f t="shared" si="1"/>
        <v>-102350</v>
      </c>
    </row>
    <row r="13" spans="1:12" x14ac:dyDescent="0.25">
      <c r="A13" s="7">
        <v>46212</v>
      </c>
      <c r="B13" s="12"/>
      <c r="C13" s="14">
        <v>940</v>
      </c>
      <c r="D13" s="14">
        <v>450</v>
      </c>
      <c r="E13" s="14">
        <v>5</v>
      </c>
      <c r="F13" s="14"/>
      <c r="G13" s="12"/>
      <c r="H13" s="12"/>
      <c r="I13" s="12"/>
      <c r="J13" s="12">
        <f t="shared" si="0"/>
        <v>116300</v>
      </c>
      <c r="K13" s="17"/>
      <c r="L13" s="2">
        <f t="shared" si="1"/>
        <v>13950</v>
      </c>
    </row>
    <row r="14" spans="1:12" x14ac:dyDescent="0.25">
      <c r="A14" s="7">
        <v>46213</v>
      </c>
      <c r="B14" s="12"/>
      <c r="C14" s="14">
        <v>1210</v>
      </c>
      <c r="D14" s="14">
        <v>525</v>
      </c>
      <c r="E14" s="14">
        <v>5</v>
      </c>
      <c r="F14" s="14"/>
      <c r="G14" s="12"/>
      <c r="H14" s="12"/>
      <c r="I14" s="12"/>
      <c r="J14" s="12">
        <f t="shared" si="0"/>
        <v>144050</v>
      </c>
      <c r="K14" s="17"/>
      <c r="L14" s="2">
        <f t="shared" si="1"/>
        <v>158000</v>
      </c>
    </row>
    <row r="15" spans="1:12" x14ac:dyDescent="0.25">
      <c r="A15" s="7">
        <v>46214</v>
      </c>
      <c r="B15" s="12"/>
      <c r="C15" s="14">
        <v>890</v>
      </c>
      <c r="D15" s="14">
        <v>400</v>
      </c>
      <c r="E15" s="14">
        <v>5</v>
      </c>
      <c r="F15" s="14"/>
      <c r="G15" s="12"/>
      <c r="H15" s="12"/>
      <c r="I15" s="12"/>
      <c r="J15" s="12">
        <f t="shared" si="0"/>
        <v>107550</v>
      </c>
      <c r="K15" s="17">
        <v>500000</v>
      </c>
      <c r="L15" s="2">
        <f t="shared" si="1"/>
        <v>-234450</v>
      </c>
    </row>
    <row r="16" spans="1:12" x14ac:dyDescent="0.25">
      <c r="A16" s="7">
        <v>46215</v>
      </c>
      <c r="B16" s="12"/>
      <c r="C16" s="14">
        <v>1190</v>
      </c>
      <c r="D16" s="14">
        <v>450</v>
      </c>
      <c r="E16" s="14">
        <v>5</v>
      </c>
      <c r="F16" s="14"/>
      <c r="G16" s="12"/>
      <c r="H16" s="12"/>
      <c r="I16" s="12"/>
      <c r="J16" s="12">
        <f t="shared" si="0"/>
        <v>135050</v>
      </c>
      <c r="K16" s="17"/>
      <c r="L16" s="2">
        <f t="shared" si="1"/>
        <v>-99400</v>
      </c>
    </row>
    <row r="17" spans="1:12" x14ac:dyDescent="0.25">
      <c r="A17" s="7">
        <v>46216</v>
      </c>
      <c r="B17" s="12"/>
      <c r="C17" s="14">
        <v>1360</v>
      </c>
      <c r="D17" s="14">
        <v>500</v>
      </c>
      <c r="E17" s="14">
        <v>5</v>
      </c>
      <c r="F17" s="14"/>
      <c r="G17" s="12"/>
      <c r="H17" s="12"/>
      <c r="I17" s="12"/>
      <c r="J17" s="12">
        <f t="shared" si="0"/>
        <v>152800</v>
      </c>
      <c r="K17" s="17"/>
      <c r="L17" s="2">
        <f t="shared" si="1"/>
        <v>53400</v>
      </c>
    </row>
    <row r="18" spans="1:12" x14ac:dyDescent="0.25">
      <c r="A18" s="7">
        <v>46217</v>
      </c>
      <c r="B18" s="12"/>
      <c r="C18" s="12">
        <v>1050</v>
      </c>
      <c r="D18" s="12">
        <v>400</v>
      </c>
      <c r="E18" s="12">
        <v>5</v>
      </c>
      <c r="F18" s="12"/>
      <c r="G18" s="12"/>
      <c r="H18" s="12"/>
      <c r="I18" s="12">
        <v>15</v>
      </c>
      <c r="J18" s="12">
        <f t="shared" si="0"/>
        <v>121050</v>
      </c>
      <c r="K18" s="5">
        <v>400000</v>
      </c>
      <c r="L18" s="2">
        <f t="shared" si="1"/>
        <v>-225550</v>
      </c>
    </row>
    <row r="19" spans="1:12" x14ac:dyDescent="0.25">
      <c r="A19" s="7">
        <v>46218</v>
      </c>
      <c r="B19" s="12">
        <f>+'[1]LIVREUR EXTERNE'!B$6</f>
        <v>0</v>
      </c>
      <c r="C19" s="12">
        <f>+'[1]LIVREUR EXTERNE'!C$6</f>
        <v>1150</v>
      </c>
      <c r="D19" s="12">
        <f>+'[1]LIVREUR EXTERNE'!D$6</f>
        <v>400</v>
      </c>
      <c r="E19" s="12">
        <f>+'[1]LIVREUR EXTERNE'!E$6</f>
        <v>5</v>
      </c>
      <c r="F19" s="12">
        <f>+'[1]LIVREUR EXTERNE'!F$6</f>
        <v>0</v>
      </c>
      <c r="G19" s="12">
        <f>+'[1]LIVREUR EXTERNE'!G$6</f>
        <v>0</v>
      </c>
      <c r="H19" s="12">
        <f>+'[1]LIVREUR EXTERNE'!H$6</f>
        <v>0</v>
      </c>
      <c r="I19" s="12">
        <f>+'[1]LIVREUR EXTERNE'!I$6</f>
        <v>0</v>
      </c>
      <c r="J19" s="12">
        <f>+'[1]LIVREUR EXTERNE'!J$6</f>
        <v>127050</v>
      </c>
      <c r="K19" s="5">
        <f>+'[1]LIVREUR EXTERNE'!N$6</f>
        <v>0</v>
      </c>
      <c r="L19" s="2">
        <f t="shared" si="1"/>
        <v>-98500</v>
      </c>
    </row>
    <row r="20" spans="1:12" x14ac:dyDescent="0.25">
      <c r="A20" s="7">
        <v>46219</v>
      </c>
      <c r="B20" s="12">
        <f>+'[2]LIVREUR EXTERNE'!B$6</f>
        <v>0</v>
      </c>
      <c r="C20" s="12">
        <f>+'[2]LIVREUR EXTERNE'!C$6</f>
        <v>1110</v>
      </c>
      <c r="D20" s="12">
        <f>+'[2]LIVREUR EXTERNE'!D$6</f>
        <v>400</v>
      </c>
      <c r="E20" s="12">
        <f>+'[2]LIVREUR EXTERNE'!E$6</f>
        <v>5</v>
      </c>
      <c r="F20" s="12">
        <f>+'[2]LIVREUR EXTERNE'!F$6</f>
        <v>0</v>
      </c>
      <c r="G20" s="12">
        <f>+'[2]LIVREUR EXTERNE'!G$6</f>
        <v>0</v>
      </c>
      <c r="H20" s="12">
        <f>+'[2]LIVREUR EXTERNE'!H$6</f>
        <v>0</v>
      </c>
      <c r="I20" s="12">
        <f>+'[2]LIVREUR EXTERNE'!I$6</f>
        <v>0</v>
      </c>
      <c r="J20" s="12">
        <f>+'[2]LIVREUR EXTERNE'!J$6</f>
        <v>124050</v>
      </c>
      <c r="K20" s="5">
        <f>+'[2]LIVREUR EXTERNE'!N$6</f>
        <v>0</v>
      </c>
      <c r="L20" s="2">
        <f t="shared" si="1"/>
        <v>25550</v>
      </c>
    </row>
    <row r="21" spans="1:12" x14ac:dyDescent="0.25">
      <c r="A21" s="7">
        <v>46220</v>
      </c>
      <c r="B21" s="12">
        <f>+'[3]LIVREUR EXTERNE'!B$6</f>
        <v>0</v>
      </c>
      <c r="C21" s="12">
        <f>+'[3]LIVREUR EXTERNE'!C$6</f>
        <v>1090</v>
      </c>
      <c r="D21" s="12">
        <f>+'[3]LIVREUR EXTERNE'!D$6</f>
        <v>400</v>
      </c>
      <c r="E21" s="12">
        <f>+'[3]LIVREUR EXTERNE'!E$6</f>
        <v>5</v>
      </c>
      <c r="F21" s="12">
        <f>+'[3]LIVREUR EXTERNE'!F$6</f>
        <v>0</v>
      </c>
      <c r="G21" s="12">
        <f>+'[3]LIVREUR EXTERNE'!G$6</f>
        <v>0</v>
      </c>
      <c r="H21" s="12">
        <f>+'[3]LIVREUR EXTERNE'!H$6</f>
        <v>0</v>
      </c>
      <c r="I21" s="12">
        <f>+'[3]LIVREUR EXTERNE'!I$6</f>
        <v>0</v>
      </c>
      <c r="J21" s="12">
        <f>+'[3]LIVREUR EXTERNE'!J$6</f>
        <v>122550</v>
      </c>
      <c r="K21" s="5">
        <f>+'[3]LIVREUR EXTERNE'!N$6</f>
        <v>400000</v>
      </c>
      <c r="L21" s="2">
        <f t="shared" si="1"/>
        <v>-251900</v>
      </c>
    </row>
    <row r="22" spans="1:12" x14ac:dyDescent="0.25">
      <c r="A22" s="7">
        <v>46221</v>
      </c>
      <c r="B22" s="12">
        <f>+'[4]LIVREUR EXTERNE'!B$6</f>
        <v>0</v>
      </c>
      <c r="C22" s="12">
        <f>+'[4]LIVREUR EXTERNE'!C$6</f>
        <v>1025</v>
      </c>
      <c r="D22" s="12">
        <f>+'[4]LIVREUR EXTERNE'!D$6</f>
        <v>500</v>
      </c>
      <c r="E22" s="12">
        <f>+'[4]LIVREUR EXTERNE'!E$6</f>
        <v>5</v>
      </c>
      <c r="F22" s="12">
        <f>+'[4]LIVREUR EXTERNE'!F$6</f>
        <v>0</v>
      </c>
      <c r="G22" s="12">
        <f>+'[4]LIVREUR EXTERNE'!G$6</f>
        <v>0</v>
      </c>
      <c r="H22" s="12">
        <f>+'[4]LIVREUR EXTERNE'!H$6</f>
        <v>0</v>
      </c>
      <c r="I22" s="12">
        <f>+'[4]LIVREUR EXTERNE'!I$6</f>
        <v>0</v>
      </c>
      <c r="J22" s="12">
        <f>+'[4]LIVREUR EXTERNE'!J$6</f>
        <v>127675</v>
      </c>
      <c r="K22" s="5">
        <f>+'[4]LIVREUR EXTERNE'!N$6</f>
        <v>127625</v>
      </c>
      <c r="L22" s="2">
        <f t="shared" si="1"/>
        <v>-251850</v>
      </c>
    </row>
    <row r="23" spans="1:12" x14ac:dyDescent="0.25">
      <c r="A23" s="7">
        <v>46222</v>
      </c>
      <c r="B23" s="12">
        <f>+'[5]LIVREUR EXTERNE'!B$6</f>
        <v>0</v>
      </c>
      <c r="C23" s="12">
        <f>+'[5]LIVREUR EXTERNE'!C$6</f>
        <v>1150</v>
      </c>
      <c r="D23" s="12">
        <f>+'[5]LIVREUR EXTERNE'!D$6</f>
        <v>400</v>
      </c>
      <c r="E23" s="12">
        <f>+'[5]LIVREUR EXTERNE'!E$6</f>
        <v>18</v>
      </c>
      <c r="F23" s="12">
        <f>+'[5]LIVREUR EXTERNE'!F$6</f>
        <v>0</v>
      </c>
      <c r="G23" s="12">
        <f>+'[5]LIVREUR EXTERNE'!G$6</f>
        <v>0</v>
      </c>
      <c r="H23" s="12">
        <f>+'[5]LIVREUR EXTERNE'!H$6</f>
        <v>0</v>
      </c>
      <c r="I23" s="12">
        <f>+'[5]LIVREUR EXTERNE'!I$6</f>
        <v>0</v>
      </c>
      <c r="J23" s="12">
        <f>+'[5]LIVREUR EXTERNE'!J$6</f>
        <v>129130</v>
      </c>
      <c r="K23" s="5">
        <f>+'[5]LIVREUR EXTERNE'!N$6</f>
        <v>127050</v>
      </c>
      <c r="L23" s="2">
        <f t="shared" si="1"/>
        <v>-249770</v>
      </c>
    </row>
    <row r="24" spans="1:12" x14ac:dyDescent="0.25">
      <c r="A24" s="7">
        <v>46223</v>
      </c>
      <c r="B24" s="12">
        <f>+'[6]LIVREUR EXTERNE'!B$6</f>
        <v>0</v>
      </c>
      <c r="C24" s="12">
        <f>+'[6]LIVREUR EXTERNE'!C$6</f>
        <v>1310</v>
      </c>
      <c r="D24" s="12">
        <f>+'[6]LIVREUR EXTERNE'!D$6</f>
        <v>520</v>
      </c>
      <c r="E24" s="12">
        <f>+'[6]LIVREUR EXTERNE'!E$6</f>
        <v>5</v>
      </c>
      <c r="F24" s="12">
        <f>+'[6]LIVREUR EXTERNE'!F$6</f>
        <v>0</v>
      </c>
      <c r="G24" s="12">
        <f>+'[6]LIVREUR EXTERNE'!G$6</f>
        <v>0</v>
      </c>
      <c r="H24" s="12">
        <f>+'[6]LIVREUR EXTERNE'!H$6</f>
        <v>0</v>
      </c>
      <c r="I24" s="12">
        <f>+'[6]LIVREUR EXTERNE'!I$6</f>
        <v>25</v>
      </c>
      <c r="J24" s="12">
        <f>+'[6]LIVREUR EXTERNE'!J$6</f>
        <v>153550</v>
      </c>
      <c r="K24" s="5">
        <f>+'[6]LIVREUR EXTERNE'!N$6</f>
        <v>151000</v>
      </c>
      <c r="L24" s="2">
        <f t="shared" si="1"/>
        <v>-247220</v>
      </c>
    </row>
    <row r="25" spans="1:12" x14ac:dyDescent="0.25">
      <c r="A25" s="7">
        <v>46224</v>
      </c>
      <c r="B25" s="12">
        <f>+'[7]LIVREUR EXTERNE'!B$6</f>
        <v>0</v>
      </c>
      <c r="C25" s="12">
        <f>+'[7]LIVREUR EXTERNE'!C$6</f>
        <v>1320</v>
      </c>
      <c r="D25" s="12">
        <f>+'[7]LIVREUR EXTERNE'!D$6</f>
        <v>510</v>
      </c>
      <c r="E25" s="12">
        <f>+'[7]LIVREUR EXTERNE'!E$6</f>
        <v>5</v>
      </c>
      <c r="F25" s="12">
        <f>+'[7]LIVREUR EXTERNE'!F$6</f>
        <v>0</v>
      </c>
      <c r="G25" s="12">
        <f>+'[7]LIVREUR EXTERNE'!G$6</f>
        <v>0</v>
      </c>
      <c r="H25" s="12">
        <f>+'[7]LIVREUR EXTERNE'!H$6</f>
        <v>0</v>
      </c>
      <c r="I25" s="12">
        <f>+'[7]LIVREUR EXTERNE'!I$6</f>
        <v>0</v>
      </c>
      <c r="J25" s="12">
        <f>+'[7]LIVREUR EXTERNE'!J$6</f>
        <v>150800</v>
      </c>
      <c r="K25" s="5">
        <f>+'[7]LIVREUR EXTERNE'!N$6</f>
        <v>137300</v>
      </c>
      <c r="L25" s="2">
        <f t="shared" si="1"/>
        <v>-233720</v>
      </c>
    </row>
    <row r="26" spans="1:12" x14ac:dyDescent="0.25">
      <c r="A26" s="7">
        <v>46225</v>
      </c>
      <c r="B26" s="12">
        <f>+'[8]LIVREUR EXTERNE'!B$6</f>
        <v>0</v>
      </c>
      <c r="C26" s="12">
        <f>+'[8]LIVREUR EXTERNE'!C$6</f>
        <v>1370</v>
      </c>
      <c r="D26" s="12">
        <f>+'[8]LIVREUR EXTERNE'!D$6</f>
        <v>515</v>
      </c>
      <c r="E26" s="12">
        <f>+'[8]LIVREUR EXTERNE'!E$6</f>
        <v>5</v>
      </c>
      <c r="F26" s="12">
        <f>+'[8]LIVREUR EXTERNE'!F$6</f>
        <v>0</v>
      </c>
      <c r="G26" s="12">
        <f>+'[8]LIVREUR EXTERNE'!G$6</f>
        <v>0</v>
      </c>
      <c r="H26" s="12">
        <f>+'[8]LIVREUR EXTERNE'!H$6</f>
        <v>0</v>
      </c>
      <c r="I26" s="12">
        <f>+'[8]LIVREUR EXTERNE'!I$6</f>
        <v>0</v>
      </c>
      <c r="J26" s="12">
        <f>+'[8]LIVREUR EXTERNE'!J$6</f>
        <v>155050</v>
      </c>
      <c r="K26" s="5">
        <f>+'[8]LIVREUR EXTERNE'!N$6</f>
        <v>155000</v>
      </c>
      <c r="L26" s="2">
        <f t="shared" si="1"/>
        <v>-233670</v>
      </c>
    </row>
    <row r="27" spans="1:12" x14ac:dyDescent="0.25">
      <c r="A27" s="7">
        <v>46226</v>
      </c>
      <c r="B27" s="12">
        <f>+'[9]LIVREUR EXTERNE'!B$6</f>
        <v>0</v>
      </c>
      <c r="C27" s="12">
        <f>+'[9]LIVREUR EXTERNE'!C$6</f>
        <v>1390</v>
      </c>
      <c r="D27" s="12">
        <f>+'[9]LIVREUR EXTERNE'!D$6</f>
        <v>525</v>
      </c>
      <c r="E27" s="12">
        <f>+'[9]LIVREUR EXTERNE'!E$6</f>
        <v>5</v>
      </c>
      <c r="F27" s="12">
        <f>+'[9]LIVREUR EXTERNE'!F$6</f>
        <v>0</v>
      </c>
      <c r="G27" s="12">
        <f>+'[9]LIVREUR EXTERNE'!G$6</f>
        <v>0</v>
      </c>
      <c r="H27" s="12">
        <f>+'[9]LIVREUR EXTERNE'!H$6</f>
        <v>0</v>
      </c>
      <c r="I27" s="12">
        <f>+'[9]LIVREUR EXTERNE'!I$6</f>
        <v>0</v>
      </c>
      <c r="J27" s="12">
        <f>+'[9]LIVREUR EXTERNE'!J$6</f>
        <v>157550</v>
      </c>
      <c r="K27" s="5">
        <f>+'[9]LIVREUR EXTERNE'!N$6</f>
        <v>157000</v>
      </c>
      <c r="L27" s="2">
        <f t="shared" si="1"/>
        <v>-233120</v>
      </c>
    </row>
    <row r="28" spans="1:12" x14ac:dyDescent="0.25">
      <c r="A28" s="7">
        <v>46227</v>
      </c>
      <c r="B28" s="12">
        <f>+'[10]LIVREUR EXTERNE'!B$6</f>
        <v>0</v>
      </c>
      <c r="C28" s="12">
        <f>+'[10]LIVREUR EXTERNE'!C$6</f>
        <v>1310</v>
      </c>
      <c r="D28" s="12">
        <f>+'[10]LIVREUR EXTERNE'!D$6</f>
        <v>500</v>
      </c>
      <c r="E28" s="12">
        <f>+'[10]LIVREUR EXTERNE'!E$6</f>
        <v>5</v>
      </c>
      <c r="F28" s="12">
        <f>+'[10]LIVREUR EXTERNE'!F$6</f>
        <v>0</v>
      </c>
      <c r="G28" s="12">
        <f>+'[10]LIVREUR EXTERNE'!G$6</f>
        <v>0</v>
      </c>
      <c r="H28" s="12">
        <f>+'[10]LIVREUR EXTERNE'!H$6</f>
        <v>0</v>
      </c>
      <c r="I28" s="12">
        <f>+'[10]LIVREUR EXTERNE'!I$6</f>
        <v>0</v>
      </c>
      <c r="J28" s="12">
        <f>+'[10]LIVREUR EXTERNE'!J$6</f>
        <v>149050</v>
      </c>
      <c r="K28" s="5">
        <f>+'[10]LIVREUR EXTERNE'!N$6</f>
        <v>0</v>
      </c>
      <c r="L28" s="2">
        <f t="shared" si="1"/>
        <v>-84070</v>
      </c>
    </row>
    <row r="29" spans="1:12" x14ac:dyDescent="0.25">
      <c r="A29" s="7">
        <v>46228</v>
      </c>
      <c r="B29" s="12">
        <f>+'[11]LIVREUR EXTERNE'!B$6</f>
        <v>0</v>
      </c>
      <c r="C29" s="12">
        <f>+'[11]LIVREUR EXTERNE'!C$6</f>
        <v>1100</v>
      </c>
      <c r="D29" s="12">
        <f>+'[11]LIVREUR EXTERNE'!D$6</f>
        <v>500</v>
      </c>
      <c r="E29" s="12">
        <f>+'[11]LIVREUR EXTERNE'!E$6</f>
        <v>5</v>
      </c>
      <c r="F29" s="12">
        <f>+'[11]LIVREUR EXTERNE'!F$6</f>
        <v>0</v>
      </c>
      <c r="G29" s="12">
        <f>+'[11]LIVREUR EXTERNE'!G$6</f>
        <v>0</v>
      </c>
      <c r="H29" s="12">
        <f>+'[11]LIVREUR EXTERNE'!H$6</f>
        <v>0</v>
      </c>
      <c r="I29" s="12">
        <f>+'[11]LIVREUR EXTERNE'!I$6</f>
        <v>10</v>
      </c>
      <c r="J29" s="12">
        <f>+'[11]LIVREUR EXTERNE'!J$6</f>
        <v>134300</v>
      </c>
      <c r="K29" s="5">
        <f>+'[11]LIVREUR EXTERNE'!N$6</f>
        <v>230000</v>
      </c>
      <c r="L29" s="2">
        <f t="shared" si="1"/>
        <v>-179770</v>
      </c>
    </row>
    <row r="30" spans="1:12" x14ac:dyDescent="0.25">
      <c r="A30" s="7">
        <v>46229</v>
      </c>
      <c r="B30" s="12">
        <f>+'[12]LIVREUR EXTERNE'!B$6</f>
        <v>0</v>
      </c>
      <c r="C30" s="12">
        <f>+'[12]LIVREUR EXTERNE'!C$6</f>
        <v>1090</v>
      </c>
      <c r="D30" s="12">
        <f>+'[12]LIVREUR EXTERNE'!D$6</f>
        <v>475</v>
      </c>
      <c r="E30" s="12">
        <f>+'[12]LIVREUR EXTERNE'!E$6</f>
        <v>5</v>
      </c>
      <c r="F30" s="12">
        <f>+'[12]LIVREUR EXTERNE'!F$6</f>
        <v>0</v>
      </c>
      <c r="G30" s="12">
        <f>+'[12]LIVREUR EXTERNE'!G$6</f>
        <v>0</v>
      </c>
      <c r="H30" s="12">
        <f>+'[12]LIVREUR EXTERNE'!H$6</f>
        <v>0</v>
      </c>
      <c r="I30" s="12">
        <f>+'[12]LIVREUR EXTERNE'!I$6</f>
        <v>0</v>
      </c>
      <c r="J30" s="12">
        <f>+'[12]LIVREUR EXTERNE'!J$6</f>
        <v>130050</v>
      </c>
      <c r="K30" s="5">
        <f>+'[12]LIVREUR EXTERNE'!N$6</f>
        <v>0</v>
      </c>
      <c r="L30" s="2">
        <f t="shared" si="1"/>
        <v>-49720</v>
      </c>
    </row>
    <row r="31" spans="1:12" x14ac:dyDescent="0.25">
      <c r="A31" s="7">
        <v>46230</v>
      </c>
      <c r="B31" s="12">
        <f>+'[13]LIVREUR EXTERNE'!B$6</f>
        <v>0</v>
      </c>
      <c r="C31" s="12">
        <f>+'[13]LIVREUR EXTERNE'!C$6</f>
        <v>1260</v>
      </c>
      <c r="D31" s="12">
        <f>+'[13]LIVREUR EXTERNE'!D$6</f>
        <v>525</v>
      </c>
      <c r="E31" s="12">
        <f>+'[13]LIVREUR EXTERNE'!E$6</f>
        <v>5</v>
      </c>
      <c r="F31" s="12">
        <f>+'[13]LIVREUR EXTERNE'!F$6</f>
        <v>0</v>
      </c>
      <c r="G31" s="12">
        <f>+'[13]LIVREUR EXTERNE'!F$6</f>
        <v>0</v>
      </c>
      <c r="H31" s="12">
        <f>+'[13]LIVREUR EXTERNE'!G$6</f>
        <v>0</v>
      </c>
      <c r="I31" s="12">
        <f>+'[13]LIVREUR EXTERNE'!H$6</f>
        <v>0</v>
      </c>
      <c r="J31" s="12">
        <f>+'[13]LIVREUR EXTERNE'!I$6</f>
        <v>0</v>
      </c>
      <c r="K31" s="5">
        <f>+'[13]LIVREUR EXTERNE'!N$6</f>
        <v>230000</v>
      </c>
      <c r="L31" s="2">
        <f t="shared" si="1"/>
        <v>-279720</v>
      </c>
    </row>
    <row r="32" spans="1:12" x14ac:dyDescent="0.25">
      <c r="A32" s="7">
        <v>46231</v>
      </c>
      <c r="B32" s="12">
        <f>+'[14]LIVREUR EXTERNE'!B$6</f>
        <v>0</v>
      </c>
      <c r="C32" s="12">
        <f>+'[14]LIVREUR EXTERNE'!C$6</f>
        <v>1340</v>
      </c>
      <c r="D32" s="12">
        <f>+'[14]LIVREUR EXTERNE'!D$6</f>
        <v>500</v>
      </c>
      <c r="E32" s="12">
        <f>+'[14]LIVREUR EXTERNE'!E$6</f>
        <v>5</v>
      </c>
      <c r="F32" s="12">
        <f>+'[14]LIVREUR EXTERNE'!F$6</f>
        <v>0</v>
      </c>
      <c r="G32" s="12">
        <f>+'[14]LIVREUR EXTERNE'!G$6</f>
        <v>0</v>
      </c>
      <c r="H32" s="12">
        <f>+'[14]LIVREUR EXTERNE'!H$6</f>
        <v>0</v>
      </c>
      <c r="I32" s="12">
        <f>+'[14]LIVREUR EXTERNE'!I$6</f>
        <v>0</v>
      </c>
      <c r="J32" s="12">
        <f>+'[14]LIVREUR EXTERNE'!J$6</f>
        <v>151300</v>
      </c>
      <c r="K32" s="5">
        <f>+'[14]LIVREUR EXTERNE'!N$6</f>
        <v>170000</v>
      </c>
      <c r="L32" s="2">
        <f t="shared" si="1"/>
        <v>-298420</v>
      </c>
    </row>
    <row r="33" spans="1:12" x14ac:dyDescent="0.25">
      <c r="A33" s="7">
        <v>46232</v>
      </c>
      <c r="B33" s="12">
        <f>+'[15]LIVREUR EXTERNE'!B$6</f>
        <v>0</v>
      </c>
      <c r="C33" s="12">
        <f>+'[15]LIVREUR EXTERNE'!C$6</f>
        <v>1295</v>
      </c>
      <c r="D33" s="12">
        <f>+'[15]LIVREUR EXTERNE'!D$6</f>
        <v>500</v>
      </c>
      <c r="E33" s="12">
        <f>+'[15]LIVREUR EXTERNE'!E$6</f>
        <v>5</v>
      </c>
      <c r="F33" s="12">
        <f>+'[15]LIVREUR EXTERNE'!F$6</f>
        <v>0</v>
      </c>
      <c r="G33" s="12">
        <f>+'[15]LIVREUR EXTERNE'!G$6</f>
        <v>0</v>
      </c>
      <c r="H33" s="12">
        <f>+'[15]LIVREUR EXTERNE'!H$6</f>
        <v>0</v>
      </c>
      <c r="I33" s="12">
        <f>+'[15]LIVREUR EXTERNE'!I$6</f>
        <v>0</v>
      </c>
      <c r="J33" s="12">
        <f>+'[15]LIVREUR EXTERNE'!J$6</f>
        <v>147925</v>
      </c>
      <c r="K33" s="5">
        <f>+'[15]LIVREUR EXTERNE'!N$6</f>
        <v>150000</v>
      </c>
      <c r="L33" s="2">
        <f t="shared" si="1"/>
        <v>-300495</v>
      </c>
    </row>
    <row r="34" spans="1:12" x14ac:dyDescent="0.25">
      <c r="A34" s="7">
        <v>46233</v>
      </c>
      <c r="B34" s="12">
        <f>+'[16]LIVREUR EXTERNE'!B$6</f>
        <v>0</v>
      </c>
      <c r="C34" s="12">
        <f>+'[16]LIVREUR EXTERNE'!C$6</f>
        <v>1215</v>
      </c>
      <c r="D34" s="12">
        <f>+'[16]LIVREUR EXTERNE'!D$6</f>
        <v>500</v>
      </c>
      <c r="E34" s="12">
        <f>+'[16]LIVREUR EXTERNE'!E$6</f>
        <v>5</v>
      </c>
      <c r="F34" s="12">
        <f>+'[16]LIVREUR EXTERNE'!F$6</f>
        <v>0</v>
      </c>
      <c r="G34" s="12">
        <f>+'[16]LIVREUR EXTERNE'!G$6</f>
        <v>0</v>
      </c>
      <c r="H34" s="12">
        <f>+'[16]LIVREUR EXTERNE'!H$6</f>
        <v>0</v>
      </c>
      <c r="I34" s="12">
        <f>+'[16]LIVREUR EXTERNE'!I$6</f>
        <v>0</v>
      </c>
      <c r="J34" s="12">
        <f>+'[16]LIVREUR EXTERNE'!J$6</f>
        <v>141925</v>
      </c>
      <c r="K34" s="5">
        <f>+'[16]LIVREUR EXTERNE'!N$6</f>
        <v>150000</v>
      </c>
      <c r="L34" s="2">
        <f t="shared" si="1"/>
        <v>-308570</v>
      </c>
    </row>
    <row r="35" spans="1:12" x14ac:dyDescent="0.25">
      <c r="A35" s="7">
        <v>46234</v>
      </c>
      <c r="B35" s="12">
        <f>+'[17]LIVREUR EXTERNE'!B$6</f>
        <v>0</v>
      </c>
      <c r="C35" s="12">
        <f>+'[17]LIVREUR EXTERNE'!C$6</f>
        <v>1255</v>
      </c>
      <c r="D35" s="12">
        <f>+'[17]LIVREUR EXTERNE'!D$6</f>
        <v>475</v>
      </c>
      <c r="E35" s="12">
        <f>+'[17]LIVREUR EXTERNE'!E$6</f>
        <v>5</v>
      </c>
      <c r="F35" s="12">
        <f>+'[17]LIVREUR EXTERNE'!F$6</f>
        <v>0</v>
      </c>
      <c r="G35" s="12">
        <f>+'[17]LIVREUR EXTERNE'!G$6</f>
        <v>0</v>
      </c>
      <c r="H35" s="12">
        <f>+'[17]LIVREUR EXTERNE'!H$6</f>
        <v>0</v>
      </c>
      <c r="I35" s="12">
        <f>+'[17]LIVREUR EXTERNE'!I$6</f>
        <v>20</v>
      </c>
      <c r="J35" s="12">
        <f>+'[17]LIVREUR EXTERNE'!J$6</f>
        <v>144425</v>
      </c>
      <c r="K35" s="5">
        <f>+'[17]LIVREUR EXTERNE'!N$6</f>
        <v>100000</v>
      </c>
      <c r="L35" s="2">
        <f t="shared" si="1"/>
        <v>-264145</v>
      </c>
    </row>
    <row r="36" spans="1:12" x14ac:dyDescent="0.25">
      <c r="A36" s="8" t="s">
        <v>13</v>
      </c>
      <c r="B36" s="11">
        <f>+SUM(B4:B35)</f>
        <v>0</v>
      </c>
      <c r="C36" s="11">
        <f t="shared" ref="C36:K36" si="2">+SUM(C4:C35)</f>
        <v>36450</v>
      </c>
      <c r="D36" s="11">
        <f t="shared" si="2"/>
        <v>14420</v>
      </c>
      <c r="E36" s="11">
        <f t="shared" si="2"/>
        <v>168</v>
      </c>
      <c r="F36" s="11">
        <f t="shared" si="2"/>
        <v>0</v>
      </c>
      <c r="G36" s="11">
        <f t="shared" si="2"/>
        <v>0</v>
      </c>
      <c r="H36" s="11">
        <f t="shared" si="2"/>
        <v>0</v>
      </c>
      <c r="I36" s="11">
        <f t="shared" si="2"/>
        <v>110</v>
      </c>
      <c r="J36" s="11">
        <f t="shared" si="2"/>
        <v>4065830</v>
      </c>
      <c r="K36" s="9">
        <f t="shared" si="2"/>
        <v>4329975</v>
      </c>
      <c r="L36" s="11">
        <f>+K36-J36</f>
        <v>264145</v>
      </c>
    </row>
  </sheetData>
  <mergeCells count="6">
    <mergeCell ref="L2:L3"/>
    <mergeCell ref="A1:I1"/>
    <mergeCell ref="A2:A3"/>
    <mergeCell ref="B2:G2"/>
    <mergeCell ref="J2:J3"/>
    <mergeCell ref="K2:K3"/>
  </mergeCells>
  <pageMargins left="1.95" right="0" top="0.72" bottom="0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6"/>
  <sheetViews>
    <sheetView workbookViewId="0">
      <selection activeCell="K19" sqref="K19"/>
    </sheetView>
  </sheetViews>
  <sheetFormatPr baseColWidth="10" defaultRowHeight="15" x14ac:dyDescent="0.25"/>
  <cols>
    <col min="1" max="1" width="10.85546875" bestFit="1" customWidth="1"/>
    <col min="2" max="9" width="7.28515625" customWidth="1"/>
    <col min="10" max="10" width="10.42578125" bestFit="1" customWidth="1"/>
    <col min="11" max="11" width="10.7109375" bestFit="1" customWidth="1"/>
    <col min="12" max="12" width="9.42578125" customWidth="1"/>
  </cols>
  <sheetData>
    <row r="1" spans="1:12" x14ac:dyDescent="0.25">
      <c r="A1" s="18" t="s">
        <v>11</v>
      </c>
      <c r="B1" s="18"/>
      <c r="C1" s="18"/>
      <c r="D1" s="18"/>
      <c r="E1" s="18"/>
      <c r="F1" s="18"/>
      <c r="G1" s="18"/>
      <c r="H1" s="18"/>
      <c r="I1" s="18"/>
      <c r="J1" s="11" t="s">
        <v>16</v>
      </c>
      <c r="K1" s="9"/>
      <c r="L1" s="10">
        <v>46204</v>
      </c>
    </row>
    <row r="2" spans="1:12" x14ac:dyDescent="0.25">
      <c r="A2" s="19" t="s">
        <v>10</v>
      </c>
      <c r="B2" s="21" t="s">
        <v>0</v>
      </c>
      <c r="C2" s="21"/>
      <c r="D2" s="21"/>
      <c r="E2" s="21"/>
      <c r="F2" s="21"/>
      <c r="G2" s="21"/>
      <c r="H2" s="1" t="s">
        <v>1</v>
      </c>
      <c r="I2" s="2" t="s">
        <v>2</v>
      </c>
      <c r="J2" s="21" t="s">
        <v>3</v>
      </c>
      <c r="K2" s="20" t="s">
        <v>8</v>
      </c>
      <c r="L2" s="20" t="s">
        <v>9</v>
      </c>
    </row>
    <row r="3" spans="1:12" ht="30" x14ac:dyDescent="0.25">
      <c r="A3" s="19"/>
      <c r="B3" s="1">
        <v>40</v>
      </c>
      <c r="C3" s="1">
        <v>75</v>
      </c>
      <c r="D3" s="1">
        <v>100</v>
      </c>
      <c r="E3" s="1" t="s">
        <v>4</v>
      </c>
      <c r="F3" s="1" t="s">
        <v>5</v>
      </c>
      <c r="G3" s="1" t="s">
        <v>6</v>
      </c>
      <c r="H3" s="1">
        <v>80</v>
      </c>
      <c r="I3" s="1">
        <v>100</v>
      </c>
      <c r="J3" s="21"/>
      <c r="K3" s="20"/>
      <c r="L3" s="20"/>
    </row>
    <row r="4" spans="1:12" x14ac:dyDescent="0.25">
      <c r="A4" s="6" t="s">
        <v>7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</row>
    <row r="5" spans="1:12" x14ac:dyDescent="0.25">
      <c r="A5" s="7">
        <v>46204</v>
      </c>
      <c r="B5" s="12"/>
      <c r="C5" s="14">
        <v>650</v>
      </c>
      <c r="D5" s="14">
        <v>725</v>
      </c>
      <c r="E5" s="14">
        <v>5</v>
      </c>
      <c r="F5" s="14"/>
      <c r="G5" s="12"/>
      <c r="H5" s="12"/>
      <c r="I5" s="12"/>
      <c r="J5" s="12">
        <f>+B5*40+C5*75+D5*100+E5*160+F5*160+H5*80+I5*100</f>
        <v>122050</v>
      </c>
      <c r="K5" s="17">
        <v>120000</v>
      </c>
      <c r="L5" s="2">
        <f>+J5+L4-K5</f>
        <v>2050</v>
      </c>
    </row>
    <row r="6" spans="1:12" x14ac:dyDescent="0.25">
      <c r="A6" s="7">
        <v>46205</v>
      </c>
      <c r="B6" s="12"/>
      <c r="C6" s="14">
        <v>650</v>
      </c>
      <c r="D6" s="14">
        <v>625</v>
      </c>
      <c r="E6" s="14">
        <v>5</v>
      </c>
      <c r="F6" s="14"/>
      <c r="G6" s="12"/>
      <c r="H6" s="12"/>
      <c r="I6" s="12"/>
      <c r="J6" s="12">
        <f t="shared" ref="J6:J18" si="0">+B6*40+C6*75+D6*100+E6*160+F6*160+H6*80+I6*100</f>
        <v>112050</v>
      </c>
      <c r="K6" s="17">
        <v>130000</v>
      </c>
      <c r="L6" s="2">
        <f t="shared" ref="L6:L35" si="1">+J6+L5-K6</f>
        <v>-15900</v>
      </c>
    </row>
    <row r="7" spans="1:12" x14ac:dyDescent="0.25">
      <c r="A7" s="7">
        <v>46206</v>
      </c>
      <c r="B7" s="12"/>
      <c r="C7" s="14">
        <v>804</v>
      </c>
      <c r="D7" s="14">
        <v>753</v>
      </c>
      <c r="E7" s="14">
        <v>5</v>
      </c>
      <c r="F7" s="14"/>
      <c r="G7" s="12"/>
      <c r="H7" s="12"/>
      <c r="I7" s="12"/>
      <c r="J7" s="12">
        <f t="shared" si="0"/>
        <v>136400</v>
      </c>
      <c r="K7" s="17">
        <v>138250</v>
      </c>
      <c r="L7" s="2">
        <f t="shared" si="1"/>
        <v>-17750</v>
      </c>
    </row>
    <row r="8" spans="1:12" x14ac:dyDescent="0.25">
      <c r="A8" s="7">
        <v>46207</v>
      </c>
      <c r="B8" s="12"/>
      <c r="C8" s="14">
        <v>745</v>
      </c>
      <c r="D8" s="14">
        <v>661</v>
      </c>
      <c r="E8" s="14">
        <v>5</v>
      </c>
      <c r="F8" s="14"/>
      <c r="G8" s="12"/>
      <c r="H8" s="12"/>
      <c r="I8" s="12"/>
      <c r="J8" s="12">
        <f t="shared" si="0"/>
        <v>122775</v>
      </c>
      <c r="K8" s="17"/>
      <c r="L8" s="2">
        <f t="shared" si="1"/>
        <v>105025</v>
      </c>
    </row>
    <row r="9" spans="1:12" x14ac:dyDescent="0.25">
      <c r="A9" s="7">
        <v>46208</v>
      </c>
      <c r="B9" s="12"/>
      <c r="C9" s="14">
        <v>475</v>
      </c>
      <c r="D9" s="14">
        <v>745</v>
      </c>
      <c r="E9" s="14">
        <v>5</v>
      </c>
      <c r="F9" s="14"/>
      <c r="G9" s="12"/>
      <c r="H9" s="12"/>
      <c r="I9" s="12"/>
      <c r="J9" s="12">
        <f t="shared" si="0"/>
        <v>110925</v>
      </c>
      <c r="K9" s="17">
        <v>200000</v>
      </c>
      <c r="L9" s="2">
        <f t="shared" si="1"/>
        <v>15950</v>
      </c>
    </row>
    <row r="10" spans="1:12" x14ac:dyDescent="0.25">
      <c r="A10" s="7">
        <v>46209</v>
      </c>
      <c r="B10" s="12"/>
      <c r="C10" s="14">
        <v>670</v>
      </c>
      <c r="D10" s="14">
        <v>745</v>
      </c>
      <c r="E10" s="14">
        <v>5</v>
      </c>
      <c r="F10" s="14"/>
      <c r="G10" s="12"/>
      <c r="H10" s="12"/>
      <c r="I10" s="14">
        <v>10</v>
      </c>
      <c r="J10" s="12">
        <f t="shared" si="0"/>
        <v>126550</v>
      </c>
      <c r="K10" s="17">
        <v>125550</v>
      </c>
      <c r="L10" s="2">
        <f t="shared" si="1"/>
        <v>16950</v>
      </c>
    </row>
    <row r="11" spans="1:12" x14ac:dyDescent="0.25">
      <c r="A11" s="7">
        <v>46210</v>
      </c>
      <c r="B11" s="12"/>
      <c r="C11" s="14">
        <v>580</v>
      </c>
      <c r="D11" s="14">
        <v>670</v>
      </c>
      <c r="E11" s="14">
        <v>5</v>
      </c>
      <c r="F11" s="14"/>
      <c r="G11" s="12"/>
      <c r="H11" s="12"/>
      <c r="I11" s="14"/>
      <c r="J11" s="12">
        <f t="shared" si="0"/>
        <v>111300</v>
      </c>
      <c r="K11" s="17">
        <v>110750</v>
      </c>
      <c r="L11" s="2">
        <f t="shared" si="1"/>
        <v>17500</v>
      </c>
    </row>
    <row r="12" spans="1:12" x14ac:dyDescent="0.25">
      <c r="A12" s="7">
        <v>46211</v>
      </c>
      <c r="B12" s="12"/>
      <c r="C12" s="14">
        <v>510</v>
      </c>
      <c r="D12" s="14">
        <v>645</v>
      </c>
      <c r="E12" s="14">
        <v>5</v>
      </c>
      <c r="F12" s="14"/>
      <c r="G12" s="12"/>
      <c r="H12" s="12"/>
      <c r="I12" s="14"/>
      <c r="J12" s="12">
        <f t="shared" si="0"/>
        <v>103550</v>
      </c>
      <c r="K12" s="17">
        <v>110000</v>
      </c>
      <c r="L12" s="2">
        <f t="shared" si="1"/>
        <v>11050</v>
      </c>
    </row>
    <row r="13" spans="1:12" x14ac:dyDescent="0.25">
      <c r="A13" s="7">
        <v>46212</v>
      </c>
      <c r="B13" s="12"/>
      <c r="C13" s="14">
        <v>510</v>
      </c>
      <c r="D13" s="14">
        <v>650</v>
      </c>
      <c r="E13" s="14">
        <v>5</v>
      </c>
      <c r="F13" s="14"/>
      <c r="G13" s="12"/>
      <c r="H13" s="12"/>
      <c r="I13" s="14"/>
      <c r="J13" s="12">
        <f t="shared" si="0"/>
        <v>104050</v>
      </c>
      <c r="K13" s="17">
        <v>104050</v>
      </c>
      <c r="L13" s="2">
        <f t="shared" si="1"/>
        <v>11050</v>
      </c>
    </row>
    <row r="14" spans="1:12" x14ac:dyDescent="0.25">
      <c r="A14" s="7">
        <v>46213</v>
      </c>
      <c r="B14" s="12"/>
      <c r="C14" s="14">
        <v>620</v>
      </c>
      <c r="D14" s="14">
        <v>755</v>
      </c>
      <c r="E14" s="14">
        <v>5</v>
      </c>
      <c r="F14" s="14"/>
      <c r="G14" s="12"/>
      <c r="H14" s="12"/>
      <c r="I14" s="14"/>
      <c r="J14" s="12">
        <f t="shared" si="0"/>
        <v>122800</v>
      </c>
      <c r="K14" s="17"/>
      <c r="L14" s="2">
        <f t="shared" si="1"/>
        <v>133850</v>
      </c>
    </row>
    <row r="15" spans="1:12" x14ac:dyDescent="0.25">
      <c r="A15" s="7">
        <v>46214</v>
      </c>
      <c r="B15" s="12"/>
      <c r="C15" s="14">
        <v>700</v>
      </c>
      <c r="D15" s="14">
        <v>600</v>
      </c>
      <c r="E15" s="14">
        <v>5</v>
      </c>
      <c r="F15" s="14"/>
      <c r="G15" s="12"/>
      <c r="H15" s="12"/>
      <c r="I15" s="14"/>
      <c r="J15" s="12">
        <f t="shared" si="0"/>
        <v>113300</v>
      </c>
      <c r="K15" s="17">
        <v>231100</v>
      </c>
      <c r="L15" s="2">
        <f t="shared" si="1"/>
        <v>16050</v>
      </c>
    </row>
    <row r="16" spans="1:12" x14ac:dyDescent="0.25">
      <c r="A16" s="7">
        <v>46215</v>
      </c>
      <c r="B16" s="12"/>
      <c r="C16" s="14">
        <v>385</v>
      </c>
      <c r="D16" s="14">
        <v>700</v>
      </c>
      <c r="E16" s="14">
        <v>5</v>
      </c>
      <c r="F16" s="14"/>
      <c r="G16" s="12"/>
      <c r="H16" s="12"/>
      <c r="I16" s="14"/>
      <c r="J16" s="12">
        <f t="shared" si="0"/>
        <v>99675</v>
      </c>
      <c r="K16" s="17"/>
      <c r="L16" s="2">
        <f t="shared" si="1"/>
        <v>115725</v>
      </c>
    </row>
    <row r="17" spans="1:12" x14ac:dyDescent="0.25">
      <c r="A17" s="7">
        <v>46216</v>
      </c>
      <c r="B17" s="12"/>
      <c r="C17" s="14">
        <v>615</v>
      </c>
      <c r="D17" s="14">
        <v>750</v>
      </c>
      <c r="E17" s="14">
        <v>5</v>
      </c>
      <c r="F17" s="14"/>
      <c r="G17" s="12"/>
      <c r="H17" s="12"/>
      <c r="I17" s="14">
        <v>20</v>
      </c>
      <c r="J17" s="12">
        <f t="shared" si="0"/>
        <v>123925</v>
      </c>
      <c r="K17" s="17">
        <v>223100</v>
      </c>
      <c r="L17" s="2">
        <f t="shared" si="1"/>
        <v>16550</v>
      </c>
    </row>
    <row r="18" spans="1:12" x14ac:dyDescent="0.25">
      <c r="A18" s="7">
        <v>46217</v>
      </c>
      <c r="B18" s="12"/>
      <c r="C18" s="12">
        <v>560</v>
      </c>
      <c r="D18" s="12">
        <v>600</v>
      </c>
      <c r="E18" s="12"/>
      <c r="F18" s="12"/>
      <c r="G18" s="12"/>
      <c r="H18" s="12"/>
      <c r="I18" s="12"/>
      <c r="J18" s="12">
        <f t="shared" si="0"/>
        <v>102000</v>
      </c>
      <c r="K18" s="5">
        <v>102000</v>
      </c>
      <c r="L18" s="2">
        <f t="shared" si="1"/>
        <v>16550</v>
      </c>
    </row>
    <row r="19" spans="1:12" x14ac:dyDescent="0.25">
      <c r="A19" s="7">
        <v>46218</v>
      </c>
      <c r="B19" s="12">
        <f>+'[1]LIVREUR EXTERNE'!B$7</f>
        <v>0</v>
      </c>
      <c r="C19" s="12">
        <f>+'[1]LIVREUR EXTERNE'!C$7</f>
        <v>510</v>
      </c>
      <c r="D19" s="12">
        <f>+'[1]LIVREUR EXTERNE'!D$7</f>
        <v>650</v>
      </c>
      <c r="E19" s="12">
        <f>+'[1]LIVREUR EXTERNE'!E$7</f>
        <v>5</v>
      </c>
      <c r="F19" s="12">
        <f>+'[1]LIVREUR EXTERNE'!F$7</f>
        <v>0</v>
      </c>
      <c r="G19" s="12">
        <f>+'[1]LIVREUR EXTERNE'!G$7</f>
        <v>0</v>
      </c>
      <c r="H19" s="12">
        <f>+'[1]LIVREUR EXTERNE'!H$7</f>
        <v>0</v>
      </c>
      <c r="I19" s="12">
        <f>+'[1]LIVREUR EXTERNE'!I$7</f>
        <v>0</v>
      </c>
      <c r="J19" s="12">
        <f>+'[1]LIVREUR EXTERNE'!J$7</f>
        <v>104050</v>
      </c>
      <c r="K19" s="5">
        <f>+'[1]LIVREUR EXTERNE'!N$7</f>
        <v>104050</v>
      </c>
      <c r="L19" s="2">
        <f t="shared" si="1"/>
        <v>16550</v>
      </c>
    </row>
    <row r="20" spans="1:12" x14ac:dyDescent="0.25">
      <c r="A20" s="7">
        <v>46219</v>
      </c>
      <c r="B20" s="12">
        <f>+'[2]LIVREUR EXTERNE'!B$7</f>
        <v>0</v>
      </c>
      <c r="C20" s="12">
        <f>+'[2]LIVREUR EXTERNE'!C$7</f>
        <v>510</v>
      </c>
      <c r="D20" s="12">
        <f>+'[2]LIVREUR EXTERNE'!D$7</f>
        <v>670</v>
      </c>
      <c r="E20" s="12">
        <f>+'[2]LIVREUR EXTERNE'!E$7</f>
        <v>5</v>
      </c>
      <c r="F20" s="12">
        <f>+'[2]LIVREUR EXTERNE'!F$7</f>
        <v>0</v>
      </c>
      <c r="G20" s="12">
        <f>+'[2]LIVREUR EXTERNE'!G$7</f>
        <v>0</v>
      </c>
      <c r="H20" s="12">
        <f>+'[2]LIVREUR EXTERNE'!H$7</f>
        <v>0</v>
      </c>
      <c r="I20" s="12">
        <f>+'[2]LIVREUR EXTERNE'!I$7</f>
        <v>0</v>
      </c>
      <c r="J20" s="12">
        <f>+'[2]LIVREUR EXTERNE'!J$7</f>
        <v>106050</v>
      </c>
      <c r="K20" s="5">
        <f>+'[2]LIVREUR EXTERNE'!N$7</f>
        <v>106050</v>
      </c>
      <c r="L20" s="2">
        <f t="shared" si="1"/>
        <v>16550</v>
      </c>
    </row>
    <row r="21" spans="1:12" x14ac:dyDescent="0.25">
      <c r="A21" s="7">
        <v>46220</v>
      </c>
      <c r="B21" s="12">
        <f>+'[3]LIVREUR EXTERNE'!B$7</f>
        <v>0</v>
      </c>
      <c r="C21" s="12">
        <f>+'[3]LIVREUR EXTERNE'!C$7</f>
        <v>670</v>
      </c>
      <c r="D21" s="12">
        <f>+'[3]LIVREUR EXTERNE'!D$7</f>
        <v>625</v>
      </c>
      <c r="E21" s="12">
        <f>+'[3]LIVREUR EXTERNE'!E$7</f>
        <v>5</v>
      </c>
      <c r="F21" s="12">
        <f>+'[3]LIVREUR EXTERNE'!F$7</f>
        <v>0</v>
      </c>
      <c r="G21" s="12">
        <f>+'[3]LIVREUR EXTERNE'!G$7</f>
        <v>0</v>
      </c>
      <c r="H21" s="12">
        <f>+'[3]LIVREUR EXTERNE'!H$7</f>
        <v>0</v>
      </c>
      <c r="I21" s="12">
        <f>+'[3]LIVREUR EXTERNE'!I$7</f>
        <v>0</v>
      </c>
      <c r="J21" s="12">
        <f>+'[3]LIVREUR EXTERNE'!J$7</f>
        <v>113550</v>
      </c>
      <c r="K21" s="5">
        <f>+'[3]LIVREUR EXTERNE'!N$7</f>
        <v>113550</v>
      </c>
      <c r="L21" s="2">
        <f t="shared" si="1"/>
        <v>16550</v>
      </c>
    </row>
    <row r="22" spans="1:12" x14ac:dyDescent="0.25">
      <c r="A22" s="7">
        <v>46221</v>
      </c>
      <c r="B22" s="12">
        <f>+'[4]LIVREUR EXTERNE'!B$7</f>
        <v>0</v>
      </c>
      <c r="C22" s="12">
        <f>+'[4]LIVREUR EXTERNE'!C$7</f>
        <v>700</v>
      </c>
      <c r="D22" s="12">
        <f>+'[4]LIVREUR EXTERNE'!D$7</f>
        <v>750</v>
      </c>
      <c r="E22" s="12">
        <f>+'[4]LIVREUR EXTERNE'!E$7</f>
        <v>5</v>
      </c>
      <c r="F22" s="12">
        <f>+'[4]LIVREUR EXTERNE'!F$7</f>
        <v>0</v>
      </c>
      <c r="G22" s="12">
        <f>+'[4]LIVREUR EXTERNE'!G$7</f>
        <v>0</v>
      </c>
      <c r="H22" s="12">
        <f>+'[4]LIVREUR EXTERNE'!H$7</f>
        <v>0</v>
      </c>
      <c r="I22" s="12">
        <f>+'[4]LIVREUR EXTERNE'!I$7</f>
        <v>0</v>
      </c>
      <c r="J22" s="12">
        <f>+'[4]LIVREUR EXTERNE'!J$7</f>
        <v>128300</v>
      </c>
      <c r="K22" s="5">
        <f>+'[4]LIVREUR EXTERNE'!N$7</f>
        <v>0</v>
      </c>
      <c r="L22" s="2">
        <f t="shared" si="1"/>
        <v>144850</v>
      </c>
    </row>
    <row r="23" spans="1:12" x14ac:dyDescent="0.25">
      <c r="A23" s="7">
        <v>46222</v>
      </c>
      <c r="B23" s="12">
        <f>+'[5]LIVREUR EXTERNE'!B$7</f>
        <v>0</v>
      </c>
      <c r="C23" s="12">
        <f>+'[5]LIVREUR EXTERNE'!C$7</f>
        <v>770</v>
      </c>
      <c r="D23" s="12">
        <f>+'[5]LIVREUR EXTERNE'!D$7</f>
        <v>530</v>
      </c>
      <c r="E23" s="12">
        <f>+'[5]LIVREUR EXTERNE'!E$7</f>
        <v>0</v>
      </c>
      <c r="F23" s="12">
        <f>+'[5]LIVREUR EXTERNE'!F$7</f>
        <v>0</v>
      </c>
      <c r="G23" s="12">
        <f>+'[5]LIVREUR EXTERNE'!G$7</f>
        <v>0</v>
      </c>
      <c r="H23" s="12">
        <f>+'[5]LIVREUR EXTERNE'!H$7</f>
        <v>0</v>
      </c>
      <c r="I23" s="12">
        <f>+'[5]LIVREUR EXTERNE'!I$7</f>
        <v>0</v>
      </c>
      <c r="J23" s="12">
        <f>+'[5]LIVREUR EXTERNE'!J$7</f>
        <v>110750</v>
      </c>
      <c r="K23" s="5">
        <f>+'[5]LIVREUR EXTERNE'!N$7</f>
        <v>230000</v>
      </c>
      <c r="L23" s="2">
        <f t="shared" si="1"/>
        <v>25600</v>
      </c>
    </row>
    <row r="24" spans="1:12" x14ac:dyDescent="0.25">
      <c r="A24" s="7">
        <v>46223</v>
      </c>
      <c r="B24" s="12">
        <f>+'[6]LIVREUR EXTERNE'!B$7</f>
        <v>0</v>
      </c>
      <c r="C24" s="12">
        <f>+'[6]LIVREUR EXTERNE'!C$7</f>
        <v>830</v>
      </c>
      <c r="D24" s="12">
        <f>+'[6]LIVREUR EXTERNE'!D$7</f>
        <v>800</v>
      </c>
      <c r="E24" s="12">
        <f>+'[6]LIVREUR EXTERNE'!E$7</f>
        <v>5</v>
      </c>
      <c r="F24" s="12">
        <f>+'[6]LIVREUR EXTERNE'!F$7</f>
        <v>0</v>
      </c>
      <c r="G24" s="12">
        <f>+'[6]LIVREUR EXTERNE'!G$7</f>
        <v>0</v>
      </c>
      <c r="H24" s="12">
        <f>+'[6]LIVREUR EXTERNE'!H$7</f>
        <v>0</v>
      </c>
      <c r="I24" s="12">
        <f>+'[6]LIVREUR EXTERNE'!I$7</f>
        <v>0</v>
      </c>
      <c r="J24" s="12">
        <f>+'[6]LIVREUR EXTERNE'!J$7</f>
        <v>143050</v>
      </c>
      <c r="K24" s="5">
        <f>+'[6]LIVREUR EXTERNE'!N$7</f>
        <v>0</v>
      </c>
      <c r="L24" s="2">
        <f t="shared" si="1"/>
        <v>168650</v>
      </c>
    </row>
    <row r="25" spans="1:12" x14ac:dyDescent="0.25">
      <c r="A25" s="7">
        <v>46224</v>
      </c>
      <c r="B25" s="12">
        <f>+'[7]LIVREUR EXTERNE'!B$7</f>
        <v>0</v>
      </c>
      <c r="C25" s="12">
        <f>+'[7]LIVREUR EXTERNE'!C$7</f>
        <v>740</v>
      </c>
      <c r="D25" s="12">
        <f>+'[7]LIVREUR EXTERNE'!D$7</f>
        <v>785</v>
      </c>
      <c r="E25" s="12">
        <f>+'[7]LIVREUR EXTERNE'!E$7</f>
        <v>5</v>
      </c>
      <c r="F25" s="12">
        <f>+'[7]LIVREUR EXTERNE'!F$7</f>
        <v>0</v>
      </c>
      <c r="G25" s="12">
        <f>+'[7]LIVREUR EXTERNE'!G$7</f>
        <v>0</v>
      </c>
      <c r="H25" s="12">
        <f>+'[7]LIVREUR EXTERNE'!H$7</f>
        <v>0</v>
      </c>
      <c r="I25" s="12">
        <f>+'[7]LIVREUR EXTERNE'!I$7</f>
        <v>0</v>
      </c>
      <c r="J25" s="12">
        <f>+'[7]LIVREUR EXTERNE'!J$7</f>
        <v>134800</v>
      </c>
      <c r="K25" s="5">
        <f>+'[7]LIVREUR EXTERNE'!N$7</f>
        <v>280000</v>
      </c>
      <c r="L25" s="2">
        <f t="shared" si="1"/>
        <v>23450</v>
      </c>
    </row>
    <row r="26" spans="1:12" x14ac:dyDescent="0.25">
      <c r="A26" s="7">
        <v>46225</v>
      </c>
      <c r="B26" s="12">
        <f>+'[8]LIVREUR EXTERNE'!B$7</f>
        <v>0</v>
      </c>
      <c r="C26" s="12">
        <f>+'[8]LIVREUR EXTERNE'!C$7</f>
        <v>520</v>
      </c>
      <c r="D26" s="12">
        <f>+'[8]LIVREUR EXTERNE'!D$7</f>
        <v>625</v>
      </c>
      <c r="E26" s="12">
        <f>+'[8]LIVREUR EXTERNE'!E$7</f>
        <v>5</v>
      </c>
      <c r="F26" s="12">
        <f>+'[8]LIVREUR EXTERNE'!F$7</f>
        <v>0</v>
      </c>
      <c r="G26" s="12">
        <f>+'[8]LIVREUR EXTERNE'!G$7</f>
        <v>0</v>
      </c>
      <c r="H26" s="12">
        <f>+'[8]LIVREUR EXTERNE'!H$7</f>
        <v>0</v>
      </c>
      <c r="I26" s="12">
        <f>+'[8]LIVREUR EXTERNE'!I$7</f>
        <v>0</v>
      </c>
      <c r="J26" s="12">
        <f>+'[8]LIVREUR EXTERNE'!J$7</f>
        <v>102300</v>
      </c>
      <c r="K26" s="5">
        <f>+'[8]LIVREUR EXTERNE'!N$7</f>
        <v>104300</v>
      </c>
      <c r="L26" s="2">
        <f t="shared" si="1"/>
        <v>21450</v>
      </c>
    </row>
    <row r="27" spans="1:12" x14ac:dyDescent="0.25">
      <c r="A27" s="7">
        <v>46226</v>
      </c>
      <c r="B27" s="12">
        <f>+'[9]LIVREUR EXTERNE'!B$7</f>
        <v>0</v>
      </c>
      <c r="C27" s="12">
        <f>+'[9]LIVREUR EXTERNE'!C$7</f>
        <v>725</v>
      </c>
      <c r="D27" s="12">
        <f>+'[9]LIVREUR EXTERNE'!D$7</f>
        <v>725</v>
      </c>
      <c r="E27" s="12">
        <f>+'[9]LIVREUR EXTERNE'!E$7</f>
        <v>5</v>
      </c>
      <c r="F27" s="12">
        <f>+'[9]LIVREUR EXTERNE'!F$7</f>
        <v>0</v>
      </c>
      <c r="G27" s="12">
        <f>+'[9]LIVREUR EXTERNE'!G$7</f>
        <v>0</v>
      </c>
      <c r="H27" s="12">
        <f>+'[9]LIVREUR EXTERNE'!H$7</f>
        <v>0</v>
      </c>
      <c r="I27" s="12">
        <f>+'[9]LIVREUR EXTERNE'!I$7</f>
        <v>0</v>
      </c>
      <c r="J27" s="12">
        <f>+'[9]LIVREUR EXTERNE'!J$7</f>
        <v>127675</v>
      </c>
      <c r="K27" s="5">
        <f>+'[9]LIVREUR EXTERNE'!N$7</f>
        <v>130000</v>
      </c>
      <c r="L27" s="2">
        <f t="shared" si="1"/>
        <v>19125</v>
      </c>
    </row>
    <row r="28" spans="1:12" x14ac:dyDescent="0.25">
      <c r="A28" s="7">
        <v>46227</v>
      </c>
      <c r="B28" s="12">
        <f>+'[10]LIVREUR EXTERNE'!B$7</f>
        <v>0</v>
      </c>
      <c r="C28" s="12">
        <f>+'[10]LIVREUR EXTERNE'!C$7</f>
        <v>750</v>
      </c>
      <c r="D28" s="12">
        <f>+'[10]LIVREUR EXTERNE'!D$7</f>
        <v>750</v>
      </c>
      <c r="E28" s="12">
        <f>+'[10]LIVREUR EXTERNE'!E$7</f>
        <v>5</v>
      </c>
      <c r="F28" s="12">
        <f>+'[10]LIVREUR EXTERNE'!F$7</f>
        <v>0</v>
      </c>
      <c r="G28" s="12">
        <f>+'[10]LIVREUR EXTERNE'!G$7</f>
        <v>0</v>
      </c>
      <c r="H28" s="12">
        <f>+'[10]LIVREUR EXTERNE'!H$7</f>
        <v>0</v>
      </c>
      <c r="I28" s="12">
        <f>+'[10]LIVREUR EXTERNE'!I$7</f>
        <v>0</v>
      </c>
      <c r="J28" s="12">
        <f>+'[10]LIVREUR EXTERNE'!J$7</f>
        <v>132050</v>
      </c>
      <c r="K28" s="5">
        <f>+'[10]LIVREUR EXTERNE'!N$7</f>
        <v>132000</v>
      </c>
      <c r="L28" s="2">
        <f t="shared" si="1"/>
        <v>19175</v>
      </c>
    </row>
    <row r="29" spans="1:12" x14ac:dyDescent="0.25">
      <c r="A29" s="7">
        <v>46228</v>
      </c>
      <c r="B29" s="12">
        <f>+'[11]LIVREUR EXTERNE'!B$7</f>
        <v>0</v>
      </c>
      <c r="C29" s="12">
        <f>+'[11]LIVREUR EXTERNE'!C$7</f>
        <v>822</v>
      </c>
      <c r="D29" s="12">
        <f>+'[11]LIVREUR EXTERNE'!D$7</f>
        <v>750</v>
      </c>
      <c r="E29" s="12">
        <f>+'[11]LIVREUR EXTERNE'!E$7</f>
        <v>5</v>
      </c>
      <c r="F29" s="12">
        <f>+'[11]LIVREUR EXTERNE'!F$7</f>
        <v>0</v>
      </c>
      <c r="G29" s="12">
        <f>+'[11]LIVREUR EXTERNE'!G$7</f>
        <v>0</v>
      </c>
      <c r="H29" s="12">
        <f>+'[11]LIVREUR EXTERNE'!H$7</f>
        <v>0</v>
      </c>
      <c r="I29" s="12">
        <f>+'[11]LIVREUR EXTERNE'!I$7</f>
        <v>0</v>
      </c>
      <c r="J29" s="12">
        <f>+'[11]LIVREUR EXTERNE'!J$7</f>
        <v>137450</v>
      </c>
      <c r="K29" s="5">
        <f>+'[11]LIVREUR EXTERNE'!N$7</f>
        <v>0</v>
      </c>
      <c r="L29" s="2">
        <f t="shared" si="1"/>
        <v>156625</v>
      </c>
    </row>
    <row r="30" spans="1:12" x14ac:dyDescent="0.25">
      <c r="A30" s="7">
        <v>46229</v>
      </c>
      <c r="B30" s="12">
        <f>+'[12]LIVREUR EXTERNE'!B$7</f>
        <v>0</v>
      </c>
      <c r="C30" s="12">
        <f>+'[12]LIVREUR EXTERNE'!C$7</f>
        <v>460</v>
      </c>
      <c r="D30" s="12">
        <f>+'[12]LIVREUR EXTERNE'!D$7</f>
        <v>710</v>
      </c>
      <c r="E30" s="12">
        <f>+'[12]LIVREUR EXTERNE'!E$7</f>
        <v>5</v>
      </c>
      <c r="F30" s="12">
        <f>+'[12]LIVREUR EXTERNE'!F$7</f>
        <v>0</v>
      </c>
      <c r="G30" s="12">
        <f>+'[12]LIVREUR EXTERNE'!G$7</f>
        <v>0</v>
      </c>
      <c r="H30" s="12">
        <f>+'[12]LIVREUR EXTERNE'!H$7</f>
        <v>0</v>
      </c>
      <c r="I30" s="12">
        <f>+'[12]LIVREUR EXTERNE'!I$7</f>
        <v>0</v>
      </c>
      <c r="J30" s="12">
        <f>+'[12]LIVREUR EXTERNE'!J$7</f>
        <v>106300</v>
      </c>
      <c r="K30" s="5">
        <f>+'[12]LIVREUR EXTERNE'!N$7</f>
        <v>200750</v>
      </c>
      <c r="L30" s="2">
        <f t="shared" si="1"/>
        <v>62175</v>
      </c>
    </row>
    <row r="31" spans="1:12" x14ac:dyDescent="0.25">
      <c r="A31" s="7">
        <v>46230</v>
      </c>
      <c r="B31" s="12">
        <f>+'[13]LIVREUR EXTERNE'!B$7</f>
        <v>0</v>
      </c>
      <c r="C31" s="12">
        <f>+'[13]LIVREUR EXTERNE'!C$7</f>
        <v>742</v>
      </c>
      <c r="D31" s="12">
        <f>+'[13]LIVREUR EXTERNE'!D$7</f>
        <v>505</v>
      </c>
      <c r="E31" s="12">
        <f>+'[13]LIVREUR EXTERNE'!E$7</f>
        <v>6</v>
      </c>
      <c r="F31" s="12">
        <f>+'[13]LIVREUR EXTERNE'!F$7</f>
        <v>0</v>
      </c>
      <c r="G31" s="12">
        <f>+'[13]LIVREUR EXTERNE'!F$7</f>
        <v>0</v>
      </c>
      <c r="H31" s="12">
        <f>+'[13]LIVREUR EXTERNE'!G$7</f>
        <v>0</v>
      </c>
      <c r="I31" s="12">
        <f>+'[13]LIVREUR EXTERNE'!H$7</f>
        <v>0</v>
      </c>
      <c r="J31" s="12">
        <f>+'[13]LIVREUR EXTERNE'!I$7</f>
        <v>0</v>
      </c>
      <c r="K31" s="5">
        <f>+'[13]LIVREUR EXTERNE'!N$7</f>
        <v>0</v>
      </c>
      <c r="L31" s="2">
        <f t="shared" si="1"/>
        <v>62175</v>
      </c>
    </row>
    <row r="32" spans="1:12" x14ac:dyDescent="0.25">
      <c r="A32" s="7">
        <v>46231</v>
      </c>
      <c r="B32" s="12">
        <f>+'[14]LIVREUR EXTERNE'!B$7</f>
        <v>0</v>
      </c>
      <c r="C32" s="12">
        <f>+'[14]LIVREUR EXTERNE'!C$7</f>
        <v>720</v>
      </c>
      <c r="D32" s="12">
        <f>+'[14]LIVREUR EXTERNE'!D$7</f>
        <v>535</v>
      </c>
      <c r="E32" s="12">
        <f>+'[14]LIVREUR EXTERNE'!E$7</f>
        <v>5</v>
      </c>
      <c r="F32" s="12">
        <f>+'[14]LIVREUR EXTERNE'!F$7</f>
        <v>0</v>
      </c>
      <c r="G32" s="12">
        <f>+'[14]LIVREUR EXTERNE'!G$7</f>
        <v>0</v>
      </c>
      <c r="H32" s="12">
        <f>+'[14]LIVREUR EXTERNE'!H$7</f>
        <v>0</v>
      </c>
      <c r="I32" s="12">
        <f>+'[14]LIVREUR EXTERNE'!I$7</f>
        <v>0</v>
      </c>
      <c r="J32" s="12">
        <f>+'[14]LIVREUR EXTERNE'!J$7</f>
        <v>108300</v>
      </c>
      <c r="K32" s="5">
        <f>+'[14]LIVREUR EXTERNE'!N$7</f>
        <v>195250</v>
      </c>
      <c r="L32" s="2">
        <f t="shared" si="1"/>
        <v>-24775</v>
      </c>
    </row>
    <row r="33" spans="1:12" x14ac:dyDescent="0.25">
      <c r="A33" s="7">
        <v>46232</v>
      </c>
      <c r="B33" s="12">
        <f>+'[15]LIVREUR EXTERNE'!B$7</f>
        <v>0</v>
      </c>
      <c r="C33" s="12">
        <f>+'[15]LIVREUR EXTERNE'!C$7</f>
        <v>710</v>
      </c>
      <c r="D33" s="12">
        <f>+'[15]LIVREUR EXTERNE'!D$7</f>
        <v>525</v>
      </c>
      <c r="E33" s="12">
        <f>+'[15]LIVREUR EXTERNE'!E$7</f>
        <v>5</v>
      </c>
      <c r="F33" s="12">
        <f>+'[15]LIVREUR EXTERNE'!F$7</f>
        <v>0</v>
      </c>
      <c r="G33" s="12">
        <f>+'[15]LIVREUR EXTERNE'!G$7</f>
        <v>0</v>
      </c>
      <c r="H33" s="12">
        <f>+'[15]LIVREUR EXTERNE'!H$7</f>
        <v>0</v>
      </c>
      <c r="I33" s="12">
        <f>+'[15]LIVREUR EXTERNE'!I$7</f>
        <v>0</v>
      </c>
      <c r="J33" s="12">
        <f>+'[15]LIVREUR EXTERNE'!J$7</f>
        <v>106550</v>
      </c>
      <c r="K33" s="5">
        <f>+'[15]LIVREUR EXTERNE'!N$7</f>
        <v>135550</v>
      </c>
      <c r="L33" s="2">
        <f t="shared" si="1"/>
        <v>-53775</v>
      </c>
    </row>
    <row r="34" spans="1:12" x14ac:dyDescent="0.25">
      <c r="A34" s="7">
        <v>46233</v>
      </c>
      <c r="B34" s="12">
        <f>+'[16]LIVREUR EXTERNE'!B$7</f>
        <v>0</v>
      </c>
      <c r="C34" s="12">
        <f>+'[16]LIVREUR EXTERNE'!C$7</f>
        <v>775</v>
      </c>
      <c r="D34" s="12">
        <f>+'[16]LIVREUR EXTERNE'!D$7</f>
        <v>535</v>
      </c>
      <c r="E34" s="12">
        <f>+'[16]LIVREUR EXTERNE'!E$7</f>
        <v>5</v>
      </c>
      <c r="F34" s="12">
        <f>+'[16]LIVREUR EXTERNE'!F$7</f>
        <v>0</v>
      </c>
      <c r="G34" s="12">
        <f>+'[16]LIVREUR EXTERNE'!G$7</f>
        <v>0</v>
      </c>
      <c r="H34" s="12">
        <f>+'[16]LIVREUR EXTERNE'!H$7</f>
        <v>0</v>
      </c>
      <c r="I34" s="12">
        <f>+'[16]LIVREUR EXTERNE'!I$7</f>
        <v>0</v>
      </c>
      <c r="J34" s="12">
        <f>+'[16]LIVREUR EXTERNE'!J$7</f>
        <v>112425</v>
      </c>
      <c r="K34" s="5">
        <f>+'[16]LIVREUR EXTERNE'!N$7</f>
        <v>122425</v>
      </c>
      <c r="L34" s="2">
        <f t="shared" si="1"/>
        <v>-63775</v>
      </c>
    </row>
    <row r="35" spans="1:12" x14ac:dyDescent="0.25">
      <c r="A35" s="7">
        <v>46234</v>
      </c>
      <c r="B35" s="12">
        <f>+'[17]LIVREUR EXTERNE'!B$7</f>
        <v>0</v>
      </c>
      <c r="C35" s="12">
        <f>+'[17]LIVREUR EXTERNE'!C$7</f>
        <v>800</v>
      </c>
      <c r="D35" s="12">
        <f>+'[17]LIVREUR EXTERNE'!D$7</f>
        <v>535</v>
      </c>
      <c r="E35" s="12">
        <f>+'[17]LIVREUR EXTERNE'!E$7</f>
        <v>5</v>
      </c>
      <c r="F35" s="12">
        <f>+'[17]LIVREUR EXTERNE'!F$7</f>
        <v>0</v>
      </c>
      <c r="G35" s="12">
        <f>+'[17]LIVREUR EXTERNE'!G$7</f>
        <v>0</v>
      </c>
      <c r="H35" s="12">
        <f>+'[17]LIVREUR EXTERNE'!H$7</f>
        <v>0</v>
      </c>
      <c r="I35" s="12">
        <f>+'[17]LIVREUR EXTERNE'!I$7</f>
        <v>0</v>
      </c>
      <c r="J35" s="12">
        <f>+'[17]LIVREUR EXTERNE'!J$7</f>
        <v>114300</v>
      </c>
      <c r="K35" s="5">
        <f>+'[17]LIVREUR EXTERNE'!N$7</f>
        <v>107000</v>
      </c>
      <c r="L35" s="2">
        <f t="shared" si="1"/>
        <v>-56475</v>
      </c>
    </row>
    <row r="36" spans="1:12" x14ac:dyDescent="0.25">
      <c r="A36" s="8" t="s">
        <v>13</v>
      </c>
      <c r="B36" s="11">
        <f>+SUM(B4:B35)</f>
        <v>0</v>
      </c>
      <c r="C36" s="11">
        <f t="shared" ref="C36:K36" si="2">+SUM(C4:C35)</f>
        <v>20228</v>
      </c>
      <c r="D36" s="11">
        <f t="shared" si="2"/>
        <v>20629</v>
      </c>
      <c r="E36" s="11">
        <f t="shared" si="2"/>
        <v>146</v>
      </c>
      <c r="F36" s="11">
        <f t="shared" si="2"/>
        <v>0</v>
      </c>
      <c r="G36" s="11">
        <f t="shared" si="2"/>
        <v>0</v>
      </c>
      <c r="H36" s="11">
        <f t="shared" si="2"/>
        <v>0</v>
      </c>
      <c r="I36" s="11">
        <f t="shared" si="2"/>
        <v>30</v>
      </c>
      <c r="J36" s="11">
        <f t="shared" si="2"/>
        <v>3499250</v>
      </c>
      <c r="K36" s="9">
        <f t="shared" si="2"/>
        <v>3555725</v>
      </c>
      <c r="L36" s="9">
        <f>+K36-J36</f>
        <v>56475</v>
      </c>
    </row>
  </sheetData>
  <mergeCells count="6">
    <mergeCell ref="L2:L3"/>
    <mergeCell ref="A1:I1"/>
    <mergeCell ref="A2:A3"/>
    <mergeCell ref="B2:G2"/>
    <mergeCell ref="J2:J3"/>
    <mergeCell ref="K2:K3"/>
  </mergeCells>
  <pageMargins left="1.25" right="0" top="0.7" bottom="0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6"/>
  <sheetViews>
    <sheetView topLeftCell="A2" workbookViewId="0">
      <selection activeCell="K19" sqref="K19"/>
    </sheetView>
  </sheetViews>
  <sheetFormatPr baseColWidth="10" defaultRowHeight="15" x14ac:dyDescent="0.25"/>
  <cols>
    <col min="1" max="1" width="10.85546875" bestFit="1" customWidth="1"/>
    <col min="2" max="9" width="7.28515625" customWidth="1"/>
    <col min="10" max="10" width="10.42578125" bestFit="1" customWidth="1"/>
    <col min="11" max="11" width="10.7109375" bestFit="1" customWidth="1"/>
    <col min="12" max="12" width="10.28515625" customWidth="1"/>
  </cols>
  <sheetData>
    <row r="1" spans="1:12" x14ac:dyDescent="0.25">
      <c r="A1" s="18" t="s">
        <v>11</v>
      </c>
      <c r="B1" s="18"/>
      <c r="C1" s="18"/>
      <c r="D1" s="18"/>
      <c r="E1" s="18"/>
      <c r="F1" s="18"/>
      <c r="G1" s="18"/>
      <c r="H1" s="18"/>
      <c r="I1" s="18"/>
      <c r="J1" s="11" t="s">
        <v>17</v>
      </c>
      <c r="K1" s="9"/>
      <c r="L1" s="10">
        <v>46204</v>
      </c>
    </row>
    <row r="2" spans="1:12" x14ac:dyDescent="0.25">
      <c r="A2" s="19" t="s">
        <v>10</v>
      </c>
      <c r="B2" s="21" t="s">
        <v>0</v>
      </c>
      <c r="C2" s="21"/>
      <c r="D2" s="21"/>
      <c r="E2" s="21"/>
      <c r="F2" s="21"/>
      <c r="G2" s="21"/>
      <c r="H2" s="1" t="s">
        <v>1</v>
      </c>
      <c r="I2" s="2" t="s">
        <v>2</v>
      </c>
      <c r="J2" s="21" t="s">
        <v>3</v>
      </c>
      <c r="K2" s="20" t="s">
        <v>8</v>
      </c>
      <c r="L2" s="20" t="s">
        <v>9</v>
      </c>
    </row>
    <row r="3" spans="1:12" ht="30" x14ac:dyDescent="0.25">
      <c r="A3" s="19"/>
      <c r="B3" s="1">
        <v>40</v>
      </c>
      <c r="C3" s="1">
        <v>75</v>
      </c>
      <c r="D3" s="1">
        <v>100</v>
      </c>
      <c r="E3" s="1" t="s">
        <v>4</v>
      </c>
      <c r="F3" s="1" t="s">
        <v>5</v>
      </c>
      <c r="G3" s="1" t="s">
        <v>6</v>
      </c>
      <c r="H3" s="1">
        <v>80</v>
      </c>
      <c r="I3" s="1">
        <v>100</v>
      </c>
      <c r="J3" s="21"/>
      <c r="K3" s="20"/>
      <c r="L3" s="20"/>
    </row>
    <row r="4" spans="1:12" x14ac:dyDescent="0.25">
      <c r="A4" s="6" t="s">
        <v>7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</row>
    <row r="5" spans="1:12" x14ac:dyDescent="0.25">
      <c r="A5" s="7">
        <v>46204</v>
      </c>
      <c r="B5" s="12"/>
      <c r="C5" s="14">
        <v>660</v>
      </c>
      <c r="D5" s="14">
        <v>785</v>
      </c>
      <c r="E5" s="14">
        <v>5</v>
      </c>
      <c r="F5" s="14"/>
      <c r="G5" s="12"/>
      <c r="H5" s="12"/>
      <c r="I5" s="12"/>
      <c r="J5" s="12">
        <f>+B5*40+C5*75+D5*100+E5*160+F5*160+H5*80+I5*100</f>
        <v>128800</v>
      </c>
      <c r="K5" s="17">
        <v>130000</v>
      </c>
      <c r="L5" s="2">
        <f>+J5+L4-K5</f>
        <v>-1200</v>
      </c>
    </row>
    <row r="6" spans="1:12" x14ac:dyDescent="0.25">
      <c r="A6" s="7">
        <v>46205</v>
      </c>
      <c r="B6" s="12"/>
      <c r="C6" s="14">
        <v>680</v>
      </c>
      <c r="D6" s="14">
        <v>810</v>
      </c>
      <c r="E6" s="14"/>
      <c r="F6" s="14"/>
      <c r="G6" s="12"/>
      <c r="H6" s="12"/>
      <c r="I6" s="12"/>
      <c r="J6" s="12">
        <f t="shared" ref="J6:J18" si="0">+B6*40+C6*75+D6*100+E6*160+F6*160+H6*80+I6*100</f>
        <v>132000</v>
      </c>
      <c r="K6" s="17">
        <v>130000</v>
      </c>
      <c r="L6" s="2">
        <f t="shared" ref="L6:L35" si="1">+J6+L5-K6</f>
        <v>800</v>
      </c>
    </row>
    <row r="7" spans="1:12" x14ac:dyDescent="0.25">
      <c r="A7" s="7">
        <v>46206</v>
      </c>
      <c r="B7" s="12"/>
      <c r="C7" s="14">
        <v>730</v>
      </c>
      <c r="D7" s="14">
        <v>790</v>
      </c>
      <c r="E7" s="14">
        <v>5</v>
      </c>
      <c r="F7" s="14"/>
      <c r="G7" s="12"/>
      <c r="H7" s="12"/>
      <c r="I7" s="14"/>
      <c r="J7" s="12">
        <f t="shared" si="0"/>
        <v>134550</v>
      </c>
      <c r="K7" s="17"/>
      <c r="L7" s="2">
        <f t="shared" si="1"/>
        <v>135350</v>
      </c>
    </row>
    <row r="8" spans="1:12" x14ac:dyDescent="0.25">
      <c r="A8" s="7">
        <v>46207</v>
      </c>
      <c r="B8" s="12"/>
      <c r="C8" s="14">
        <v>655</v>
      </c>
      <c r="D8" s="14">
        <v>805</v>
      </c>
      <c r="E8" s="14"/>
      <c r="F8" s="14"/>
      <c r="G8" s="12"/>
      <c r="H8" s="12"/>
      <c r="I8" s="14">
        <v>5</v>
      </c>
      <c r="J8" s="12">
        <f t="shared" si="0"/>
        <v>130125</v>
      </c>
      <c r="K8" s="17">
        <v>168000</v>
      </c>
      <c r="L8" s="2">
        <f t="shared" si="1"/>
        <v>97475</v>
      </c>
    </row>
    <row r="9" spans="1:12" x14ac:dyDescent="0.25">
      <c r="A9" s="7">
        <v>46208</v>
      </c>
      <c r="B9" s="12"/>
      <c r="C9" s="14">
        <v>640</v>
      </c>
      <c r="D9" s="14">
        <v>744</v>
      </c>
      <c r="E9" s="14">
        <v>5</v>
      </c>
      <c r="F9" s="14"/>
      <c r="G9" s="12"/>
      <c r="H9" s="12"/>
      <c r="I9" s="14"/>
      <c r="J9" s="12">
        <f t="shared" si="0"/>
        <v>123200</v>
      </c>
      <c r="K9" s="17"/>
      <c r="L9" s="2">
        <f t="shared" si="1"/>
        <v>220675</v>
      </c>
    </row>
    <row r="10" spans="1:12" x14ac:dyDescent="0.25">
      <c r="A10" s="7">
        <v>46209</v>
      </c>
      <c r="B10" s="12"/>
      <c r="C10" s="14">
        <v>700</v>
      </c>
      <c r="D10" s="14">
        <v>840</v>
      </c>
      <c r="E10" s="14">
        <v>5</v>
      </c>
      <c r="F10" s="14"/>
      <c r="G10" s="12"/>
      <c r="H10" s="12"/>
      <c r="I10" s="14">
        <v>5</v>
      </c>
      <c r="J10" s="12">
        <f t="shared" si="0"/>
        <v>137800</v>
      </c>
      <c r="K10" s="17">
        <v>311500</v>
      </c>
      <c r="L10" s="2">
        <f t="shared" si="1"/>
        <v>46975</v>
      </c>
    </row>
    <row r="11" spans="1:12" x14ac:dyDescent="0.25">
      <c r="A11" s="7">
        <v>46210</v>
      </c>
      <c r="B11" s="12"/>
      <c r="C11" s="14">
        <v>725</v>
      </c>
      <c r="D11" s="14">
        <v>815</v>
      </c>
      <c r="E11" s="14">
        <v>5</v>
      </c>
      <c r="F11" s="14"/>
      <c r="G11" s="12"/>
      <c r="H11" s="12"/>
      <c r="I11" s="14"/>
      <c r="J11" s="12">
        <f t="shared" si="0"/>
        <v>136675</v>
      </c>
      <c r="K11" s="17">
        <v>143500</v>
      </c>
      <c r="L11" s="2">
        <f t="shared" si="1"/>
        <v>40150</v>
      </c>
    </row>
    <row r="12" spans="1:12" x14ac:dyDescent="0.25">
      <c r="A12" s="7">
        <v>46211</v>
      </c>
      <c r="B12" s="12"/>
      <c r="C12" s="14">
        <v>720</v>
      </c>
      <c r="D12" s="14">
        <v>780</v>
      </c>
      <c r="E12" s="14">
        <v>5</v>
      </c>
      <c r="F12" s="14"/>
      <c r="G12" s="12"/>
      <c r="H12" s="12"/>
      <c r="I12" s="14"/>
      <c r="J12" s="12">
        <f t="shared" si="0"/>
        <v>132800</v>
      </c>
      <c r="K12" s="17">
        <v>131500</v>
      </c>
      <c r="L12" s="2">
        <f t="shared" si="1"/>
        <v>41450</v>
      </c>
    </row>
    <row r="13" spans="1:12" x14ac:dyDescent="0.25">
      <c r="A13" s="7">
        <v>46212</v>
      </c>
      <c r="B13" s="12"/>
      <c r="C13" s="14">
        <v>770</v>
      </c>
      <c r="D13" s="14">
        <v>740</v>
      </c>
      <c r="E13" s="14">
        <v>5</v>
      </c>
      <c r="F13" s="14"/>
      <c r="G13" s="12"/>
      <c r="H13" s="12"/>
      <c r="I13" s="14"/>
      <c r="J13" s="12">
        <f t="shared" si="0"/>
        <v>132550</v>
      </c>
      <c r="K13" s="17">
        <v>132600</v>
      </c>
      <c r="L13" s="2">
        <f t="shared" si="1"/>
        <v>41400</v>
      </c>
    </row>
    <row r="14" spans="1:12" x14ac:dyDescent="0.25">
      <c r="A14" s="7">
        <v>46213</v>
      </c>
      <c r="B14" s="12"/>
      <c r="C14" s="14">
        <v>685</v>
      </c>
      <c r="D14" s="14">
        <v>750</v>
      </c>
      <c r="E14" s="14">
        <v>5</v>
      </c>
      <c r="F14" s="14"/>
      <c r="G14" s="12"/>
      <c r="H14" s="12"/>
      <c r="I14" s="14">
        <v>10</v>
      </c>
      <c r="J14" s="12">
        <f t="shared" si="0"/>
        <v>128175</v>
      </c>
      <c r="K14" s="17">
        <v>125000</v>
      </c>
      <c r="L14" s="2">
        <f t="shared" si="1"/>
        <v>44575</v>
      </c>
    </row>
    <row r="15" spans="1:12" x14ac:dyDescent="0.25">
      <c r="A15" s="7">
        <v>46214</v>
      </c>
      <c r="B15" s="12"/>
      <c r="C15" s="14">
        <v>615</v>
      </c>
      <c r="D15" s="14">
        <v>740</v>
      </c>
      <c r="E15" s="14">
        <v>5</v>
      </c>
      <c r="F15" s="14"/>
      <c r="G15" s="12"/>
      <c r="H15" s="12"/>
      <c r="I15" s="14"/>
      <c r="J15" s="12">
        <f t="shared" si="0"/>
        <v>120925</v>
      </c>
      <c r="K15" s="17"/>
      <c r="L15" s="2">
        <f t="shared" si="1"/>
        <v>165500</v>
      </c>
    </row>
    <row r="16" spans="1:12" x14ac:dyDescent="0.25">
      <c r="A16" s="7">
        <v>46215</v>
      </c>
      <c r="B16" s="12"/>
      <c r="C16" s="14">
        <v>590</v>
      </c>
      <c r="D16" s="14">
        <v>775</v>
      </c>
      <c r="E16" s="14">
        <v>5</v>
      </c>
      <c r="F16" s="14"/>
      <c r="G16" s="12"/>
      <c r="H16" s="12"/>
      <c r="I16" s="14"/>
      <c r="J16" s="12">
        <f t="shared" si="0"/>
        <v>122550</v>
      </c>
      <c r="K16" s="17"/>
      <c r="L16" s="2">
        <f t="shared" si="1"/>
        <v>288050</v>
      </c>
    </row>
    <row r="17" spans="1:12" x14ac:dyDescent="0.25">
      <c r="A17" s="7">
        <v>46216</v>
      </c>
      <c r="B17" s="12"/>
      <c r="C17" s="14">
        <v>650</v>
      </c>
      <c r="D17" s="14">
        <v>800</v>
      </c>
      <c r="E17" s="14">
        <v>5</v>
      </c>
      <c r="F17" s="14"/>
      <c r="G17" s="12"/>
      <c r="H17" s="12"/>
      <c r="I17" s="14"/>
      <c r="J17" s="12">
        <f t="shared" si="0"/>
        <v>129550</v>
      </c>
      <c r="K17" s="17"/>
      <c r="L17" s="2">
        <f t="shared" si="1"/>
        <v>417600</v>
      </c>
    </row>
    <row r="18" spans="1:12" x14ac:dyDescent="0.25">
      <c r="A18" s="7">
        <v>46217</v>
      </c>
      <c r="B18" s="12"/>
      <c r="C18" s="14">
        <v>640</v>
      </c>
      <c r="D18" s="14">
        <v>750</v>
      </c>
      <c r="E18" s="14">
        <v>5</v>
      </c>
      <c r="F18" s="14"/>
      <c r="G18" s="12"/>
      <c r="H18" s="12"/>
      <c r="I18" s="12">
        <v>20</v>
      </c>
      <c r="J18" s="12">
        <f t="shared" si="0"/>
        <v>125800</v>
      </c>
      <c r="K18" s="17">
        <v>465000</v>
      </c>
      <c r="L18" s="2">
        <f t="shared" si="1"/>
        <v>78400</v>
      </c>
    </row>
    <row r="19" spans="1:12" x14ac:dyDescent="0.25">
      <c r="A19" s="7">
        <v>46218</v>
      </c>
      <c r="B19" s="12">
        <f>+'[1]LIVREUR EXTERNE'!B$8</f>
        <v>0</v>
      </c>
      <c r="C19" s="12">
        <f>+'[1]LIVREUR EXTERNE'!C$8</f>
        <v>630</v>
      </c>
      <c r="D19" s="12">
        <f>+'[1]LIVREUR EXTERNE'!D$8</f>
        <v>750</v>
      </c>
      <c r="E19" s="12">
        <f>+'[1]LIVREUR EXTERNE'!E$8</f>
        <v>0</v>
      </c>
      <c r="F19" s="12">
        <f>+'[1]LIVREUR EXTERNE'!F$8</f>
        <v>0</v>
      </c>
      <c r="G19" s="12">
        <f>+'[1]LIVREUR EXTERNE'!G$8</f>
        <v>0</v>
      </c>
      <c r="H19" s="12">
        <f>+'[1]LIVREUR EXTERNE'!H$8</f>
        <v>0</v>
      </c>
      <c r="I19" s="12">
        <f>+'[1]LIVREUR EXTERNE'!I$8</f>
        <v>0</v>
      </c>
      <c r="J19" s="12">
        <f>+'[1]LIVREUR EXTERNE'!J$8</f>
        <v>122250</v>
      </c>
      <c r="K19" s="5">
        <f>+'[1]LIVREUR EXTERNE'!N$8</f>
        <v>122000</v>
      </c>
      <c r="L19" s="2">
        <f t="shared" si="1"/>
        <v>78650</v>
      </c>
    </row>
    <row r="20" spans="1:12" x14ac:dyDescent="0.25">
      <c r="A20" s="7">
        <v>46219</v>
      </c>
      <c r="B20" s="12">
        <f>+'[2]LIVREUR EXTERNE'!B$8</f>
        <v>0</v>
      </c>
      <c r="C20" s="12">
        <f>+'[2]LIVREUR EXTERNE'!C$8</f>
        <v>640</v>
      </c>
      <c r="D20" s="12">
        <f>+'[2]LIVREUR EXTERNE'!D$8</f>
        <v>700</v>
      </c>
      <c r="E20" s="12">
        <f>+'[2]LIVREUR EXTERNE'!E$8</f>
        <v>5</v>
      </c>
      <c r="F20" s="12">
        <f>+'[2]LIVREUR EXTERNE'!F$8</f>
        <v>0</v>
      </c>
      <c r="G20" s="12">
        <f>+'[2]LIVREUR EXTERNE'!G$8</f>
        <v>0</v>
      </c>
      <c r="H20" s="12">
        <f>+'[2]LIVREUR EXTERNE'!H$8</f>
        <v>0</v>
      </c>
      <c r="I20" s="12">
        <f>+'[2]LIVREUR EXTERNE'!I$8</f>
        <v>0</v>
      </c>
      <c r="J20" s="12">
        <f>+'[2]LIVREUR EXTERNE'!J$8</f>
        <v>118800</v>
      </c>
      <c r="K20" s="5">
        <f>+'[2]LIVREUR EXTERNE'!N$8</f>
        <v>119700</v>
      </c>
      <c r="L20" s="2">
        <f t="shared" si="1"/>
        <v>77750</v>
      </c>
    </row>
    <row r="21" spans="1:12" x14ac:dyDescent="0.25">
      <c r="A21" s="7">
        <v>46220</v>
      </c>
      <c r="B21" s="12">
        <f>+'[3]LIVREUR EXTERNE'!B$8</f>
        <v>0</v>
      </c>
      <c r="C21" s="12">
        <f>+'[3]LIVREUR EXTERNE'!C$8</f>
        <v>700</v>
      </c>
      <c r="D21" s="12">
        <f>+'[3]LIVREUR EXTERNE'!D$8</f>
        <v>775</v>
      </c>
      <c r="E21" s="12">
        <f>+'[3]LIVREUR EXTERNE'!E$8</f>
        <v>5</v>
      </c>
      <c r="F21" s="12">
        <f>+'[3]LIVREUR EXTERNE'!F$8</f>
        <v>0</v>
      </c>
      <c r="G21" s="12">
        <f>+'[3]LIVREUR EXTERNE'!G$8</f>
        <v>0</v>
      </c>
      <c r="H21" s="12">
        <f>+'[3]LIVREUR EXTERNE'!H$8</f>
        <v>0</v>
      </c>
      <c r="I21" s="12">
        <f>+'[3]LIVREUR EXTERNE'!I$8</f>
        <v>0</v>
      </c>
      <c r="J21" s="12">
        <f>+'[3]LIVREUR EXTERNE'!J$8</f>
        <v>130800</v>
      </c>
      <c r="K21" s="5">
        <f>+'[3]LIVREUR EXTERNE'!N$8</f>
        <v>0</v>
      </c>
      <c r="L21" s="2">
        <f t="shared" si="1"/>
        <v>208550</v>
      </c>
    </row>
    <row r="22" spans="1:12" x14ac:dyDescent="0.25">
      <c r="A22" s="7">
        <v>46221</v>
      </c>
      <c r="B22" s="12">
        <f>+'[4]LIVREUR EXTERNE'!B$8</f>
        <v>0</v>
      </c>
      <c r="C22" s="12">
        <f>+'[4]LIVREUR EXTERNE'!C$8</f>
        <v>600</v>
      </c>
      <c r="D22" s="12">
        <f>+'[4]LIVREUR EXTERNE'!D$8</f>
        <v>750</v>
      </c>
      <c r="E22" s="12">
        <f>+'[4]LIVREUR EXTERNE'!E$8</f>
        <v>5</v>
      </c>
      <c r="F22" s="12">
        <f>+'[4]LIVREUR EXTERNE'!F$8</f>
        <v>0</v>
      </c>
      <c r="G22" s="12">
        <f>+'[4]LIVREUR EXTERNE'!G$8</f>
        <v>0</v>
      </c>
      <c r="H22" s="12">
        <f>+'[4]LIVREUR EXTERNE'!H$8</f>
        <v>0</v>
      </c>
      <c r="I22" s="12">
        <f>+'[4]LIVREUR EXTERNE'!I$8</f>
        <v>0</v>
      </c>
      <c r="J22" s="12">
        <f>+'[4]LIVREUR EXTERNE'!J$8</f>
        <v>120800</v>
      </c>
      <c r="K22" s="5">
        <f>+'[4]LIVREUR EXTERNE'!N$8</f>
        <v>0</v>
      </c>
      <c r="L22" s="2">
        <f t="shared" si="1"/>
        <v>329350</v>
      </c>
    </row>
    <row r="23" spans="1:12" x14ac:dyDescent="0.25">
      <c r="A23" s="7">
        <v>46222</v>
      </c>
      <c r="B23" s="12">
        <f>+'[5]LIVREUR EXTERNE'!B$8</f>
        <v>0</v>
      </c>
      <c r="C23" s="12">
        <f>+'[5]LIVREUR EXTERNE'!C$8</f>
        <v>460</v>
      </c>
      <c r="D23" s="12">
        <f>+'[5]LIVREUR EXTERNE'!D$8</f>
        <v>675</v>
      </c>
      <c r="E23" s="12">
        <f>+'[5]LIVREUR EXTERNE'!E$8</f>
        <v>0</v>
      </c>
      <c r="F23" s="12">
        <f>+'[5]LIVREUR EXTERNE'!F$8</f>
        <v>0</v>
      </c>
      <c r="G23" s="12">
        <f>+'[5]LIVREUR EXTERNE'!G$8</f>
        <v>0</v>
      </c>
      <c r="H23" s="12">
        <f>+'[5]LIVREUR EXTERNE'!H$8</f>
        <v>0</v>
      </c>
      <c r="I23" s="12">
        <f>+'[5]LIVREUR EXTERNE'!I$8</f>
        <v>0</v>
      </c>
      <c r="J23" s="12">
        <f>+'[5]LIVREUR EXTERNE'!J$8</f>
        <v>102000</v>
      </c>
      <c r="K23" s="5">
        <f>+'[5]LIVREUR EXTERNE'!N$8</f>
        <v>0</v>
      </c>
      <c r="L23" s="2">
        <f t="shared" si="1"/>
        <v>431350</v>
      </c>
    </row>
    <row r="24" spans="1:12" x14ac:dyDescent="0.25">
      <c r="A24" s="7">
        <v>46223</v>
      </c>
      <c r="B24" s="12">
        <f>+'[6]LIVREUR EXTERNE'!B$8</f>
        <v>0</v>
      </c>
      <c r="C24" s="12">
        <f>+'[6]LIVREUR EXTERNE'!C$8</f>
        <v>650</v>
      </c>
      <c r="D24" s="12">
        <f>+'[6]LIVREUR EXTERNE'!D$8</f>
        <v>750</v>
      </c>
      <c r="E24" s="12">
        <f>+'[6]LIVREUR EXTERNE'!E$8</f>
        <v>0</v>
      </c>
      <c r="F24" s="12">
        <f>+'[6]LIVREUR EXTERNE'!F$8</f>
        <v>0</v>
      </c>
      <c r="G24" s="12">
        <f>+'[6]LIVREUR EXTERNE'!G$8</f>
        <v>0</v>
      </c>
      <c r="H24" s="12">
        <f>+'[6]LIVREUR EXTERNE'!H$8</f>
        <v>0</v>
      </c>
      <c r="I24" s="12">
        <f>+'[6]LIVREUR EXTERNE'!I$8</f>
        <v>15</v>
      </c>
      <c r="J24" s="12">
        <f>+'[6]LIVREUR EXTERNE'!J$8</f>
        <v>125250</v>
      </c>
      <c r="K24" s="5">
        <f>+'[6]LIVREUR EXTERNE'!N$8</f>
        <v>465500</v>
      </c>
      <c r="L24" s="2">
        <f t="shared" si="1"/>
        <v>91100</v>
      </c>
    </row>
    <row r="25" spans="1:12" x14ac:dyDescent="0.25">
      <c r="A25" s="7">
        <v>46224</v>
      </c>
      <c r="B25" s="12">
        <f>+'[7]LIVREUR EXTERNE'!B$8</f>
        <v>0</v>
      </c>
      <c r="C25" s="12">
        <f>+'[7]LIVREUR EXTERNE'!C$8</f>
        <v>712</v>
      </c>
      <c r="D25" s="12">
        <f>+'[7]LIVREUR EXTERNE'!D$8</f>
        <v>760</v>
      </c>
      <c r="E25" s="12">
        <f>+'[7]LIVREUR EXTERNE'!E$8</f>
        <v>5</v>
      </c>
      <c r="F25" s="12">
        <f>+'[7]LIVREUR EXTERNE'!F$8</f>
        <v>0</v>
      </c>
      <c r="G25" s="12">
        <f>+'[7]LIVREUR EXTERNE'!G$8</f>
        <v>0</v>
      </c>
      <c r="H25" s="12">
        <f>+'[7]LIVREUR EXTERNE'!H$8</f>
        <v>0</v>
      </c>
      <c r="I25" s="12">
        <f>+'[7]LIVREUR EXTERNE'!I$8</f>
        <v>20</v>
      </c>
      <c r="J25" s="12">
        <f>+'[7]LIVREUR EXTERNE'!J$8</f>
        <v>132200</v>
      </c>
      <c r="K25" s="5">
        <f>+'[7]LIVREUR EXTERNE'!N$8</f>
        <v>0</v>
      </c>
      <c r="L25" s="2">
        <f t="shared" si="1"/>
        <v>223300</v>
      </c>
    </row>
    <row r="26" spans="1:12" x14ac:dyDescent="0.25">
      <c r="A26" s="7">
        <v>46225</v>
      </c>
      <c r="B26" s="12">
        <f>+'[8]LIVREUR EXTERNE'!B$8</f>
        <v>0</v>
      </c>
      <c r="C26" s="12">
        <f>+'[8]LIVREUR EXTERNE'!C$8</f>
        <v>703</v>
      </c>
      <c r="D26" s="12">
        <f>+'[8]LIVREUR EXTERNE'!D$8</f>
        <v>755</v>
      </c>
      <c r="E26" s="12">
        <f>+'[8]LIVREUR EXTERNE'!E$8</f>
        <v>5</v>
      </c>
      <c r="F26" s="12">
        <f>+'[8]LIVREUR EXTERNE'!F$8</f>
        <v>0</v>
      </c>
      <c r="G26" s="12">
        <f>+'[8]LIVREUR EXTERNE'!G$8</f>
        <v>0</v>
      </c>
      <c r="H26" s="12">
        <f>+'[8]LIVREUR EXTERNE'!H$8</f>
        <v>0</v>
      </c>
      <c r="I26" s="12">
        <f>+'[8]LIVREUR EXTERNE'!I$8</f>
        <v>0</v>
      </c>
      <c r="J26" s="12">
        <f>+'[8]LIVREUR EXTERNE'!J$8</f>
        <v>129025</v>
      </c>
      <c r="K26" s="5">
        <f>+'[8]LIVREUR EXTERNE'!N$8</f>
        <v>261200</v>
      </c>
      <c r="L26" s="2">
        <f t="shared" si="1"/>
        <v>91125</v>
      </c>
    </row>
    <row r="27" spans="1:12" x14ac:dyDescent="0.25">
      <c r="A27" s="7">
        <v>46226</v>
      </c>
      <c r="B27" s="12">
        <f>+'[9]LIVREUR EXTERNE'!B$8</f>
        <v>0</v>
      </c>
      <c r="C27" s="12">
        <f>+'[9]LIVREUR EXTERNE'!C$8</f>
        <v>680</v>
      </c>
      <c r="D27" s="12">
        <f>+'[9]LIVREUR EXTERNE'!D$8</f>
        <v>720</v>
      </c>
      <c r="E27" s="12">
        <f>+'[9]LIVREUR EXTERNE'!E$8</f>
        <v>5</v>
      </c>
      <c r="F27" s="12">
        <f>+'[9]LIVREUR EXTERNE'!F$8</f>
        <v>0</v>
      </c>
      <c r="G27" s="12">
        <f>+'[9]LIVREUR EXTERNE'!G$8</f>
        <v>0</v>
      </c>
      <c r="H27" s="12">
        <f>+'[9]LIVREUR EXTERNE'!H$8</f>
        <v>0</v>
      </c>
      <c r="I27" s="12">
        <f>+'[9]LIVREUR EXTERNE'!I$8</f>
        <v>0</v>
      </c>
      <c r="J27" s="12">
        <f>+'[9]LIVREUR EXTERNE'!J$8</f>
        <v>123800</v>
      </c>
      <c r="K27" s="5">
        <f>+'[9]LIVREUR EXTERNE'!N$8</f>
        <v>0</v>
      </c>
      <c r="L27" s="2">
        <f t="shared" si="1"/>
        <v>214925</v>
      </c>
    </row>
    <row r="28" spans="1:12" x14ac:dyDescent="0.25">
      <c r="A28" s="7">
        <v>46227</v>
      </c>
      <c r="B28" s="12">
        <f>+'[10]LIVREUR EXTERNE'!B$8</f>
        <v>0</v>
      </c>
      <c r="C28" s="12">
        <f>+'[10]LIVREUR EXTERNE'!C$8</f>
        <v>650</v>
      </c>
      <c r="D28" s="12">
        <f>+'[10]LIVREUR EXTERNE'!D$8</f>
        <v>720</v>
      </c>
      <c r="E28" s="12">
        <f>+'[10]LIVREUR EXTERNE'!E$8</f>
        <v>5</v>
      </c>
      <c r="F28" s="12">
        <f>+'[10]LIVREUR EXTERNE'!F$8</f>
        <v>0</v>
      </c>
      <c r="G28" s="12">
        <f>+'[10]LIVREUR EXTERNE'!G$8</f>
        <v>0</v>
      </c>
      <c r="H28" s="12">
        <f>+'[10]LIVREUR EXTERNE'!H$8</f>
        <v>0</v>
      </c>
      <c r="I28" s="12">
        <f>+'[10]LIVREUR EXTERNE'!I$8</f>
        <v>20</v>
      </c>
      <c r="J28" s="12">
        <f>+'[10]LIVREUR EXTERNE'!J$8</f>
        <v>123550</v>
      </c>
      <c r="K28" s="5">
        <f>+'[10]LIVREUR EXTERNE'!N$8</f>
        <v>245500</v>
      </c>
      <c r="L28" s="2">
        <f t="shared" si="1"/>
        <v>92975</v>
      </c>
    </row>
    <row r="29" spans="1:12" x14ac:dyDescent="0.25">
      <c r="A29" s="7">
        <v>46228</v>
      </c>
      <c r="B29" s="12">
        <f>+'[11]LIVREUR EXTERNE'!B$8</f>
        <v>0</v>
      </c>
      <c r="C29" s="12">
        <f>+'[11]LIVREUR EXTERNE'!C$8</f>
        <v>605</v>
      </c>
      <c r="D29" s="12">
        <f>+'[11]LIVREUR EXTERNE'!D$8</f>
        <v>740</v>
      </c>
      <c r="E29" s="12">
        <f>+'[11]LIVREUR EXTERNE'!E$8</f>
        <v>5</v>
      </c>
      <c r="F29" s="12">
        <f>+'[11]LIVREUR EXTERNE'!F$8</f>
        <v>0</v>
      </c>
      <c r="G29" s="12">
        <f>+'[11]LIVREUR EXTERNE'!G$8</f>
        <v>0</v>
      </c>
      <c r="H29" s="12">
        <f>+'[11]LIVREUR EXTERNE'!H$8</f>
        <v>0</v>
      </c>
      <c r="I29" s="12">
        <f>+'[11]LIVREUR EXTERNE'!I$8</f>
        <v>0</v>
      </c>
      <c r="J29" s="12">
        <f>+'[11]LIVREUR EXTERNE'!J$8</f>
        <v>120175</v>
      </c>
      <c r="K29" s="5">
        <f>+'[11]LIVREUR EXTERNE'!N$8</f>
        <v>0</v>
      </c>
      <c r="L29" s="2">
        <f t="shared" si="1"/>
        <v>213150</v>
      </c>
    </row>
    <row r="30" spans="1:12" x14ac:dyDescent="0.25">
      <c r="A30" s="7">
        <v>46229</v>
      </c>
      <c r="B30" s="12">
        <f>+'[12]LIVREUR EXTERNE'!B$8</f>
        <v>0</v>
      </c>
      <c r="C30" s="12">
        <f>+'[12]LIVREUR EXTERNE'!C$8</f>
        <v>550</v>
      </c>
      <c r="D30" s="12">
        <f>+'[12]LIVREUR EXTERNE'!D$8</f>
        <v>675</v>
      </c>
      <c r="E30" s="12">
        <f>+'[12]LIVREUR EXTERNE'!E$8</f>
        <v>5</v>
      </c>
      <c r="F30" s="12">
        <f>+'[12]LIVREUR EXTERNE'!F$8</f>
        <v>0</v>
      </c>
      <c r="G30" s="12">
        <f>+'[12]LIVREUR EXTERNE'!G$8</f>
        <v>0</v>
      </c>
      <c r="H30" s="12">
        <f>+'[12]LIVREUR EXTERNE'!H$8</f>
        <v>0</v>
      </c>
      <c r="I30" s="12">
        <f>+'[12]LIVREUR EXTERNE'!I$8</f>
        <v>0</v>
      </c>
      <c r="J30" s="12">
        <f>+'[12]LIVREUR EXTERNE'!J$8</f>
        <v>109550</v>
      </c>
      <c r="K30" s="5">
        <f>+'[12]LIVREUR EXTERNE'!N$8</f>
        <v>0</v>
      </c>
      <c r="L30" s="2">
        <f t="shared" si="1"/>
        <v>322700</v>
      </c>
    </row>
    <row r="31" spans="1:12" x14ac:dyDescent="0.25">
      <c r="A31" s="7">
        <v>46230</v>
      </c>
      <c r="B31" s="12">
        <f>+'[13]LIVREUR EXTERNE'!B$8</f>
        <v>0</v>
      </c>
      <c r="C31" s="12">
        <f>+'[13]LIVREUR EXTERNE'!C$8</f>
        <v>700</v>
      </c>
      <c r="D31" s="12">
        <f>+'[13]LIVREUR EXTERNE'!D$8</f>
        <v>800</v>
      </c>
      <c r="E31" s="12">
        <f>+'[13]LIVREUR EXTERNE'!E$8</f>
        <v>5</v>
      </c>
      <c r="F31" s="12">
        <f>+'[13]LIVREUR EXTERNE'!F$8</f>
        <v>0</v>
      </c>
      <c r="G31" s="12">
        <f>+'[13]LIVREUR EXTERNE'!F$8</f>
        <v>0</v>
      </c>
      <c r="H31" s="12">
        <f>+'[13]LIVREUR EXTERNE'!G$8</f>
        <v>0</v>
      </c>
      <c r="I31" s="12">
        <f>+'[13]LIVREUR EXTERNE'!H$8</f>
        <v>0</v>
      </c>
      <c r="J31" s="12">
        <f>+'[13]LIVREUR EXTERNE'!I$8</f>
        <v>0</v>
      </c>
      <c r="K31" s="5">
        <f>+'[13]LIVREUR EXTERNE'!N$8</f>
        <v>98000</v>
      </c>
      <c r="L31" s="2">
        <f t="shared" si="1"/>
        <v>224700</v>
      </c>
    </row>
    <row r="32" spans="1:12" x14ac:dyDescent="0.25">
      <c r="A32" s="7">
        <v>46231</v>
      </c>
      <c r="B32" s="12">
        <f>+'[14]LIVREUR EXTERNE'!B$8</f>
        <v>0</v>
      </c>
      <c r="C32" s="12">
        <f>+'[14]LIVREUR EXTERNE'!C$8</f>
        <v>720</v>
      </c>
      <c r="D32" s="12">
        <f>+'[14]LIVREUR EXTERNE'!D$8</f>
        <v>800</v>
      </c>
      <c r="E32" s="12">
        <f>+'[14]LIVREUR EXTERNE'!E$8</f>
        <v>5</v>
      </c>
      <c r="F32" s="12">
        <f>+'[14]LIVREUR EXTERNE'!F$8</f>
        <v>0</v>
      </c>
      <c r="G32" s="12">
        <f>+'[14]LIVREUR EXTERNE'!G$8</f>
        <v>0</v>
      </c>
      <c r="H32" s="12">
        <f>+'[14]LIVREUR EXTERNE'!H$8</f>
        <v>0</v>
      </c>
      <c r="I32" s="12">
        <f>+'[14]LIVREUR EXTERNE'!I$8</f>
        <v>26</v>
      </c>
      <c r="J32" s="12">
        <f>+'[14]LIVREUR EXTERNE'!J$8</f>
        <v>137400</v>
      </c>
      <c r="K32" s="5">
        <f>+'[14]LIVREUR EXTERNE'!N$8</f>
        <v>348500</v>
      </c>
      <c r="L32" s="2">
        <f t="shared" si="1"/>
        <v>13600</v>
      </c>
    </row>
    <row r="33" spans="1:12" x14ac:dyDescent="0.25">
      <c r="A33" s="7">
        <v>46232</v>
      </c>
      <c r="B33" s="12">
        <f>+'[15]LIVREUR EXTERNE'!B$8</f>
        <v>0</v>
      </c>
      <c r="C33" s="12">
        <f>+'[15]LIVREUR EXTERNE'!C$8</f>
        <v>745</v>
      </c>
      <c r="D33" s="12">
        <f>+'[15]LIVREUR EXTERNE'!D$8</f>
        <v>750</v>
      </c>
      <c r="E33" s="12">
        <f>+'[15]LIVREUR EXTERNE'!E$8</f>
        <v>5</v>
      </c>
      <c r="F33" s="12">
        <f>+'[15]LIVREUR EXTERNE'!F$8</f>
        <v>0</v>
      </c>
      <c r="G33" s="12">
        <f>+'[15]LIVREUR EXTERNE'!G$8</f>
        <v>0</v>
      </c>
      <c r="H33" s="12">
        <f>+'[15]LIVREUR EXTERNE'!H$8</f>
        <v>0</v>
      </c>
      <c r="I33" s="12">
        <f>+'[15]LIVREUR EXTERNE'!I$8</f>
        <v>0</v>
      </c>
      <c r="J33" s="12">
        <f>+'[15]LIVREUR EXTERNE'!J$8</f>
        <v>131675</v>
      </c>
      <c r="K33" s="5">
        <f>+'[15]LIVREUR EXTERNE'!N$8</f>
        <v>133000</v>
      </c>
      <c r="L33" s="2">
        <f t="shared" si="1"/>
        <v>12275</v>
      </c>
    </row>
    <row r="34" spans="1:12" x14ac:dyDescent="0.25">
      <c r="A34" s="7">
        <v>46233</v>
      </c>
      <c r="B34" s="12">
        <f>+'[16]LIVREUR EXTERNE'!B$8</f>
        <v>0</v>
      </c>
      <c r="C34" s="12">
        <f>+'[16]LIVREUR EXTERNE'!C$8</f>
        <v>760</v>
      </c>
      <c r="D34" s="12">
        <f>+'[16]LIVREUR EXTERNE'!D$8</f>
        <v>810</v>
      </c>
      <c r="E34" s="12">
        <f>+'[16]LIVREUR EXTERNE'!E$8</f>
        <v>5</v>
      </c>
      <c r="F34" s="12">
        <f>+'[16]LIVREUR EXTERNE'!F$8</f>
        <v>0</v>
      </c>
      <c r="G34" s="12">
        <f>+'[16]LIVREUR EXTERNE'!G$8</f>
        <v>0</v>
      </c>
      <c r="H34" s="12">
        <f>+'[16]LIVREUR EXTERNE'!H$8</f>
        <v>0</v>
      </c>
      <c r="I34" s="12">
        <f>+'[16]LIVREUR EXTERNE'!I$8</f>
        <v>0</v>
      </c>
      <c r="J34" s="12">
        <f>+'[16]LIVREUR EXTERNE'!J$8</f>
        <v>138800</v>
      </c>
      <c r="K34" s="5">
        <f>+'[16]LIVREUR EXTERNE'!N$8</f>
        <v>139600</v>
      </c>
      <c r="L34" s="2">
        <f t="shared" si="1"/>
        <v>11475</v>
      </c>
    </row>
    <row r="35" spans="1:12" x14ac:dyDescent="0.25">
      <c r="A35" s="7">
        <v>46234</v>
      </c>
      <c r="B35" s="12">
        <f>+'[17]LIVREUR EXTERNE'!B$8</f>
        <v>0</v>
      </c>
      <c r="C35" s="12">
        <f>+'[17]LIVREUR EXTERNE'!C$8</f>
        <v>730</v>
      </c>
      <c r="D35" s="12">
        <f>+'[17]LIVREUR EXTERNE'!D$8</f>
        <v>775</v>
      </c>
      <c r="E35" s="12">
        <f>+'[17]LIVREUR EXTERNE'!E$8</f>
        <v>5</v>
      </c>
      <c r="F35" s="12">
        <f>+'[17]LIVREUR EXTERNE'!F$8</f>
        <v>0</v>
      </c>
      <c r="G35" s="12">
        <f>+'[17]LIVREUR EXTERNE'!G$8</f>
        <v>0</v>
      </c>
      <c r="H35" s="12">
        <f>+'[17]LIVREUR EXTERNE'!H$8</f>
        <v>0</v>
      </c>
      <c r="I35" s="12">
        <f>+'[17]LIVREUR EXTERNE'!I$8</f>
        <v>0</v>
      </c>
      <c r="J35" s="12">
        <f>+'[17]LIVREUR EXTERNE'!J$8</f>
        <v>133050</v>
      </c>
      <c r="K35" s="5">
        <f>+'[17]LIVREUR EXTERNE'!N$8</f>
        <v>133500</v>
      </c>
      <c r="L35" s="2">
        <f t="shared" si="1"/>
        <v>11025</v>
      </c>
    </row>
    <row r="36" spans="1:12" x14ac:dyDescent="0.25">
      <c r="A36" s="8" t="s">
        <v>13</v>
      </c>
      <c r="B36" s="11">
        <f>+SUM(B4:B35)</f>
        <v>0</v>
      </c>
      <c r="C36" s="11">
        <f t="shared" ref="C36:K36" si="2">+SUM(C4:C35)</f>
        <v>20695</v>
      </c>
      <c r="D36" s="11">
        <f t="shared" si="2"/>
        <v>23629</v>
      </c>
      <c r="E36" s="11">
        <f t="shared" si="2"/>
        <v>130</v>
      </c>
      <c r="F36" s="11">
        <f t="shared" si="2"/>
        <v>0</v>
      </c>
      <c r="G36" s="11">
        <f t="shared" si="2"/>
        <v>0</v>
      </c>
      <c r="H36" s="11">
        <f t="shared" si="2"/>
        <v>0</v>
      </c>
      <c r="I36" s="11">
        <f t="shared" si="2"/>
        <v>121</v>
      </c>
      <c r="J36" s="11">
        <f t="shared" si="2"/>
        <v>3814625</v>
      </c>
      <c r="K36" s="9">
        <f t="shared" si="2"/>
        <v>3803600</v>
      </c>
      <c r="L36" s="9">
        <f>+K36-J36</f>
        <v>-11025</v>
      </c>
    </row>
  </sheetData>
  <mergeCells count="6">
    <mergeCell ref="L2:L3"/>
    <mergeCell ref="A1:I1"/>
    <mergeCell ref="A2:A3"/>
    <mergeCell ref="B2:G2"/>
    <mergeCell ref="J2:J3"/>
    <mergeCell ref="K2:K3"/>
  </mergeCells>
  <pageMargins left="1.32" right="0" top="0.53" bottom="0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6"/>
  <sheetViews>
    <sheetView topLeftCell="A2" workbookViewId="0">
      <selection activeCell="K19" sqref="K19"/>
    </sheetView>
  </sheetViews>
  <sheetFormatPr baseColWidth="10" defaultRowHeight="15" x14ac:dyDescent="0.25"/>
  <cols>
    <col min="1" max="1" width="10.85546875" bestFit="1" customWidth="1"/>
    <col min="2" max="9" width="7.28515625" customWidth="1"/>
    <col min="10" max="10" width="9.7109375" bestFit="1" customWidth="1"/>
    <col min="11" max="11" width="10.7109375" bestFit="1" customWidth="1"/>
    <col min="12" max="12" width="8.85546875" bestFit="1" customWidth="1"/>
  </cols>
  <sheetData>
    <row r="1" spans="1:12" x14ac:dyDescent="0.25">
      <c r="A1" s="18" t="s">
        <v>11</v>
      </c>
      <c r="B1" s="18"/>
      <c r="C1" s="18"/>
      <c r="D1" s="18"/>
      <c r="E1" s="18"/>
      <c r="F1" s="18"/>
      <c r="G1" s="18"/>
      <c r="H1" s="18"/>
      <c r="I1" s="18"/>
      <c r="J1" s="11" t="s">
        <v>18</v>
      </c>
      <c r="K1" s="9"/>
      <c r="L1" s="10">
        <v>46204</v>
      </c>
    </row>
    <row r="2" spans="1:12" x14ac:dyDescent="0.25">
      <c r="A2" s="19" t="s">
        <v>10</v>
      </c>
      <c r="B2" s="21" t="s">
        <v>0</v>
      </c>
      <c r="C2" s="21"/>
      <c r="D2" s="21"/>
      <c r="E2" s="21"/>
      <c r="F2" s="21"/>
      <c r="G2" s="21"/>
      <c r="H2" s="1" t="s">
        <v>1</v>
      </c>
      <c r="I2" s="2" t="s">
        <v>2</v>
      </c>
      <c r="J2" s="21" t="s">
        <v>3</v>
      </c>
      <c r="K2" s="20" t="s">
        <v>8</v>
      </c>
      <c r="L2" s="20" t="s">
        <v>9</v>
      </c>
    </row>
    <row r="3" spans="1:12" ht="30" x14ac:dyDescent="0.25">
      <c r="A3" s="19"/>
      <c r="B3" s="1">
        <v>40</v>
      </c>
      <c r="C3" s="1">
        <v>75</v>
      </c>
      <c r="D3" s="1">
        <v>100</v>
      </c>
      <c r="E3" s="1" t="s">
        <v>4</v>
      </c>
      <c r="F3" s="1" t="s">
        <v>5</v>
      </c>
      <c r="G3" s="1" t="s">
        <v>6</v>
      </c>
      <c r="H3" s="1">
        <v>80</v>
      </c>
      <c r="I3" s="1">
        <v>100</v>
      </c>
      <c r="J3" s="21"/>
      <c r="K3" s="20"/>
      <c r="L3" s="20"/>
    </row>
    <row r="4" spans="1:12" x14ac:dyDescent="0.25">
      <c r="A4" s="6" t="s">
        <v>7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</row>
    <row r="5" spans="1:12" x14ac:dyDescent="0.25">
      <c r="A5" s="7">
        <v>46204</v>
      </c>
      <c r="B5" s="14">
        <v>150</v>
      </c>
      <c r="C5" s="14">
        <v>890</v>
      </c>
      <c r="D5" s="14">
        <v>680</v>
      </c>
      <c r="E5" s="14"/>
      <c r="F5" s="14"/>
      <c r="G5" s="12"/>
      <c r="H5" s="12"/>
      <c r="I5" s="12"/>
      <c r="J5" s="12">
        <f>+B5*40+C5*75+D5*100+E5*160+F5*160+H5*80+I5*100</f>
        <v>140750</v>
      </c>
      <c r="K5" s="17"/>
      <c r="L5" s="2">
        <f>+J5+L4-K5</f>
        <v>140750</v>
      </c>
    </row>
    <row r="6" spans="1:12" x14ac:dyDescent="0.25">
      <c r="A6" s="7">
        <v>46205</v>
      </c>
      <c r="B6" s="14">
        <v>150</v>
      </c>
      <c r="C6" s="14">
        <v>950</v>
      </c>
      <c r="D6" s="14">
        <v>750</v>
      </c>
      <c r="E6" s="14"/>
      <c r="F6" s="14"/>
      <c r="G6" s="12"/>
      <c r="H6" s="12"/>
      <c r="I6" s="12"/>
      <c r="J6" s="12">
        <f t="shared" ref="J6:J18" si="0">+B6*40+C6*75+D6*100+E6*160+F6*160+H6*80+I6*100</f>
        <v>152250</v>
      </c>
      <c r="K6" s="17">
        <v>279000</v>
      </c>
      <c r="L6" s="2">
        <f t="shared" ref="L6:L35" si="1">+J6+L5-K6</f>
        <v>14000</v>
      </c>
    </row>
    <row r="7" spans="1:12" x14ac:dyDescent="0.25">
      <c r="A7" s="7">
        <v>46206</v>
      </c>
      <c r="B7" s="14">
        <v>150</v>
      </c>
      <c r="C7" s="14">
        <v>1126</v>
      </c>
      <c r="D7" s="14">
        <v>832</v>
      </c>
      <c r="E7" s="14"/>
      <c r="F7" s="14"/>
      <c r="G7" s="12"/>
      <c r="H7" s="12"/>
      <c r="I7" s="12"/>
      <c r="J7" s="12">
        <f t="shared" si="0"/>
        <v>173650</v>
      </c>
      <c r="K7" s="17">
        <v>173000</v>
      </c>
      <c r="L7" s="2">
        <f t="shared" si="1"/>
        <v>14650</v>
      </c>
    </row>
    <row r="8" spans="1:12" x14ac:dyDescent="0.25">
      <c r="A8" s="7">
        <v>46207</v>
      </c>
      <c r="B8" s="14">
        <v>200</v>
      </c>
      <c r="C8" s="14">
        <v>1050</v>
      </c>
      <c r="D8" s="14">
        <v>765</v>
      </c>
      <c r="E8" s="14">
        <v>8</v>
      </c>
      <c r="F8" s="14"/>
      <c r="G8" s="12"/>
      <c r="H8" s="12"/>
      <c r="I8" s="12"/>
      <c r="J8" s="12">
        <f t="shared" si="0"/>
        <v>164530</v>
      </c>
      <c r="K8" s="17">
        <f>67000+84000</f>
        <v>151000</v>
      </c>
      <c r="L8" s="2">
        <f t="shared" si="1"/>
        <v>28180</v>
      </c>
    </row>
    <row r="9" spans="1:12" x14ac:dyDescent="0.25">
      <c r="A9" s="7">
        <v>46208</v>
      </c>
      <c r="B9" s="14">
        <v>200</v>
      </c>
      <c r="C9" s="14">
        <v>1070</v>
      </c>
      <c r="D9" s="14">
        <v>750</v>
      </c>
      <c r="E9" s="14">
        <v>5</v>
      </c>
      <c r="F9" s="14"/>
      <c r="G9" s="12"/>
      <c r="H9" s="12"/>
      <c r="I9" s="12"/>
      <c r="J9" s="12">
        <f t="shared" si="0"/>
        <v>164050</v>
      </c>
      <c r="K9" s="17">
        <v>160000</v>
      </c>
      <c r="L9" s="2">
        <f t="shared" si="1"/>
        <v>32230</v>
      </c>
    </row>
    <row r="10" spans="1:12" x14ac:dyDescent="0.25">
      <c r="A10" s="7">
        <v>46209</v>
      </c>
      <c r="B10" s="14">
        <v>200</v>
      </c>
      <c r="C10" s="14">
        <v>1090</v>
      </c>
      <c r="D10" s="14">
        <v>680</v>
      </c>
      <c r="E10" s="14">
        <v>8</v>
      </c>
      <c r="F10" s="14"/>
      <c r="G10" s="12"/>
      <c r="H10" s="12"/>
      <c r="I10" s="12"/>
      <c r="J10" s="12">
        <f t="shared" si="0"/>
        <v>159030</v>
      </c>
      <c r="K10" s="17">
        <v>244750</v>
      </c>
      <c r="L10" s="2">
        <f t="shared" si="1"/>
        <v>-53490</v>
      </c>
    </row>
    <row r="11" spans="1:12" x14ac:dyDescent="0.25">
      <c r="A11" s="7">
        <v>46210</v>
      </c>
      <c r="B11" s="14">
        <v>150</v>
      </c>
      <c r="C11" s="14">
        <v>910</v>
      </c>
      <c r="D11" s="14">
        <v>730</v>
      </c>
      <c r="E11" s="14"/>
      <c r="F11" s="14"/>
      <c r="G11" s="12"/>
      <c r="H11" s="12"/>
      <c r="I11" s="12"/>
      <c r="J11" s="12">
        <f t="shared" si="0"/>
        <v>147250</v>
      </c>
      <c r="K11" s="17">
        <v>149500</v>
      </c>
      <c r="L11" s="2">
        <f t="shared" si="1"/>
        <v>-55740</v>
      </c>
    </row>
    <row r="12" spans="1:12" x14ac:dyDescent="0.25">
      <c r="A12" s="7">
        <v>46211</v>
      </c>
      <c r="B12" s="14">
        <v>150</v>
      </c>
      <c r="C12" s="14">
        <v>1060</v>
      </c>
      <c r="D12" s="14">
        <v>750</v>
      </c>
      <c r="E12" s="14"/>
      <c r="F12" s="14"/>
      <c r="G12" s="12"/>
      <c r="H12" s="12"/>
      <c r="I12" s="12"/>
      <c r="J12" s="12">
        <f t="shared" si="0"/>
        <v>160500</v>
      </c>
      <c r="K12" s="17">
        <f>70000+89000</f>
        <v>159000</v>
      </c>
      <c r="L12" s="2">
        <f t="shared" si="1"/>
        <v>-54240</v>
      </c>
    </row>
    <row r="13" spans="1:12" x14ac:dyDescent="0.25">
      <c r="A13" s="7">
        <v>46212</v>
      </c>
      <c r="B13" s="14">
        <v>150</v>
      </c>
      <c r="C13" s="14">
        <v>885</v>
      </c>
      <c r="D13" s="14">
        <v>640</v>
      </c>
      <c r="E13" s="14"/>
      <c r="F13" s="14"/>
      <c r="G13" s="12"/>
      <c r="H13" s="12"/>
      <c r="I13" s="12"/>
      <c r="J13" s="12">
        <f t="shared" si="0"/>
        <v>136375</v>
      </c>
      <c r="K13" s="17">
        <v>136500</v>
      </c>
      <c r="L13" s="2">
        <f t="shared" si="1"/>
        <v>-54365</v>
      </c>
    </row>
    <row r="14" spans="1:12" x14ac:dyDescent="0.25">
      <c r="A14" s="7">
        <v>46213</v>
      </c>
      <c r="B14" s="14">
        <v>150</v>
      </c>
      <c r="C14" s="14">
        <v>1120</v>
      </c>
      <c r="D14" s="14">
        <v>780</v>
      </c>
      <c r="E14" s="14"/>
      <c r="F14" s="14"/>
      <c r="G14" s="12"/>
      <c r="H14" s="12"/>
      <c r="I14" s="12">
        <v>10</v>
      </c>
      <c r="J14" s="12">
        <f t="shared" si="0"/>
        <v>169000</v>
      </c>
      <c r="K14" s="17">
        <v>92000</v>
      </c>
      <c r="L14" s="2">
        <f t="shared" si="1"/>
        <v>22635</v>
      </c>
    </row>
    <row r="15" spans="1:12" x14ac:dyDescent="0.25">
      <c r="A15" s="7">
        <v>46214</v>
      </c>
      <c r="B15" s="14">
        <v>150</v>
      </c>
      <c r="C15" s="14">
        <v>1000</v>
      </c>
      <c r="D15" s="14">
        <v>630</v>
      </c>
      <c r="E15" s="14"/>
      <c r="F15" s="14"/>
      <c r="G15" s="12"/>
      <c r="H15" s="12"/>
      <c r="I15" s="12"/>
      <c r="J15" s="12">
        <f t="shared" si="0"/>
        <v>144000</v>
      </c>
      <c r="K15" s="17">
        <v>140000</v>
      </c>
      <c r="L15" s="2">
        <f t="shared" si="1"/>
        <v>26635</v>
      </c>
    </row>
    <row r="16" spans="1:12" x14ac:dyDescent="0.25">
      <c r="A16" s="7">
        <v>46215</v>
      </c>
      <c r="B16" s="14">
        <v>200</v>
      </c>
      <c r="C16" s="14">
        <v>1115</v>
      </c>
      <c r="D16" s="14">
        <v>705</v>
      </c>
      <c r="E16" s="14">
        <v>8</v>
      </c>
      <c r="F16" s="14"/>
      <c r="G16" s="12"/>
      <c r="H16" s="12"/>
      <c r="I16" s="12"/>
      <c r="J16" s="12">
        <f t="shared" si="0"/>
        <v>163405</v>
      </c>
      <c r="K16" s="17"/>
      <c r="L16" s="2">
        <f t="shared" si="1"/>
        <v>190040</v>
      </c>
    </row>
    <row r="17" spans="1:12" x14ac:dyDescent="0.25">
      <c r="A17" s="7">
        <v>46216</v>
      </c>
      <c r="B17" s="14">
        <v>150</v>
      </c>
      <c r="C17" s="14">
        <v>1120</v>
      </c>
      <c r="D17" s="14">
        <v>795</v>
      </c>
      <c r="E17" s="14">
        <v>13</v>
      </c>
      <c r="F17" s="14"/>
      <c r="G17" s="12"/>
      <c r="H17" s="12"/>
      <c r="I17" s="12"/>
      <c r="J17" s="12">
        <f t="shared" si="0"/>
        <v>171580</v>
      </c>
      <c r="K17" s="17">
        <v>237000</v>
      </c>
      <c r="L17" s="2">
        <f t="shared" si="1"/>
        <v>124620</v>
      </c>
    </row>
    <row r="18" spans="1:12" x14ac:dyDescent="0.25">
      <c r="A18" s="7">
        <v>46217</v>
      </c>
      <c r="B18" s="12">
        <v>150</v>
      </c>
      <c r="C18" s="12">
        <v>840</v>
      </c>
      <c r="D18" s="12">
        <v>695</v>
      </c>
      <c r="E18" s="12"/>
      <c r="F18" s="12"/>
      <c r="G18" s="12"/>
      <c r="H18" s="12"/>
      <c r="I18" s="12"/>
      <c r="J18" s="12">
        <f t="shared" si="0"/>
        <v>138500</v>
      </c>
      <c r="K18" s="5">
        <v>224000</v>
      </c>
      <c r="L18" s="2">
        <f t="shared" si="1"/>
        <v>39120</v>
      </c>
    </row>
    <row r="19" spans="1:12" x14ac:dyDescent="0.25">
      <c r="A19" s="7">
        <v>46218</v>
      </c>
      <c r="B19" s="12">
        <f>+'[1]LIVREUR EXTERNE'!B$9</f>
        <v>100</v>
      </c>
      <c r="C19" s="12">
        <f>+'[1]LIVREUR EXTERNE'!C$9</f>
        <v>780</v>
      </c>
      <c r="D19" s="12">
        <f>+'[1]LIVREUR EXTERNE'!D$9</f>
        <v>680</v>
      </c>
      <c r="E19" s="12">
        <f>+'[1]LIVREUR EXTERNE'!E$9</f>
        <v>10</v>
      </c>
      <c r="F19" s="12">
        <f>+'[1]LIVREUR EXTERNE'!F$9</f>
        <v>0</v>
      </c>
      <c r="G19" s="12">
        <f>+'[1]LIVREUR EXTERNE'!G$9</f>
        <v>0</v>
      </c>
      <c r="H19" s="12">
        <f>+'[1]LIVREUR EXTERNE'!H$9</f>
        <v>0</v>
      </c>
      <c r="I19" s="12">
        <f>+'[1]LIVREUR EXTERNE'!I$9</f>
        <v>0</v>
      </c>
      <c r="J19" s="12">
        <f>+'[1]LIVREUR EXTERNE'!J$9</f>
        <v>132100</v>
      </c>
      <c r="K19" s="5">
        <f>+'[1]LIVREUR EXTERNE'!N$9</f>
        <v>64000</v>
      </c>
      <c r="L19" s="2">
        <f t="shared" si="1"/>
        <v>107220</v>
      </c>
    </row>
    <row r="20" spans="1:12" x14ac:dyDescent="0.25">
      <c r="A20" s="7">
        <v>46219</v>
      </c>
      <c r="B20" s="12">
        <f>+'[2]LIVREUR EXTERNE'!B$9</f>
        <v>150</v>
      </c>
      <c r="C20" s="12">
        <f>+'[2]LIVREUR EXTERNE'!C$9</f>
        <v>785</v>
      </c>
      <c r="D20" s="12">
        <f>+'[2]LIVREUR EXTERNE'!D$9</f>
        <v>615</v>
      </c>
      <c r="E20" s="12">
        <f>+'[2]LIVREUR EXTERNE'!E$9</f>
        <v>10</v>
      </c>
      <c r="F20" s="12">
        <f>+'[2]LIVREUR EXTERNE'!F$9</f>
        <v>0</v>
      </c>
      <c r="G20" s="12">
        <f>+'[2]LIVREUR EXTERNE'!G$9</f>
        <v>0</v>
      </c>
      <c r="H20" s="12">
        <f>+'[2]LIVREUR EXTERNE'!H$9</f>
        <v>0</v>
      </c>
      <c r="I20" s="12">
        <f>+'[2]LIVREUR EXTERNE'!I$9</f>
        <v>0</v>
      </c>
      <c r="J20" s="12">
        <f>+'[2]LIVREUR EXTERNE'!J$9</f>
        <v>127975</v>
      </c>
      <c r="K20" s="5">
        <f>+'[2]LIVREUR EXTERNE'!N$9</f>
        <v>68000</v>
      </c>
      <c r="L20" s="2">
        <f t="shared" si="1"/>
        <v>167195</v>
      </c>
    </row>
    <row r="21" spans="1:12" x14ac:dyDescent="0.25">
      <c r="A21" s="7">
        <v>46220</v>
      </c>
      <c r="B21" s="12">
        <f>+'[3]LIVREUR EXTERNE'!B$9</f>
        <v>150</v>
      </c>
      <c r="C21" s="12">
        <f>+'[3]LIVREUR EXTERNE'!C$9</f>
        <v>800</v>
      </c>
      <c r="D21" s="12">
        <f>+'[3]LIVREUR EXTERNE'!D$9</f>
        <v>600</v>
      </c>
      <c r="E21" s="12">
        <f>+'[3]LIVREUR EXTERNE'!E$9</f>
        <v>0</v>
      </c>
      <c r="F21" s="12">
        <f>+'[3]LIVREUR EXTERNE'!F$9</f>
        <v>0</v>
      </c>
      <c r="G21" s="12">
        <f>+'[3]LIVREUR EXTERNE'!G$9</f>
        <v>0</v>
      </c>
      <c r="H21" s="12">
        <f>+'[3]LIVREUR EXTERNE'!H$9</f>
        <v>0</v>
      </c>
      <c r="I21" s="12">
        <f>+'[3]LIVREUR EXTERNE'!I$9</f>
        <v>0</v>
      </c>
      <c r="J21" s="12">
        <f>+'[3]LIVREUR EXTERNE'!J$9</f>
        <v>126000</v>
      </c>
      <c r="K21" s="5">
        <f>+'[3]LIVREUR EXTERNE'!N$9</f>
        <v>189000</v>
      </c>
      <c r="L21" s="2">
        <f t="shared" si="1"/>
        <v>104195</v>
      </c>
    </row>
    <row r="22" spans="1:12" x14ac:dyDescent="0.25">
      <c r="A22" s="7">
        <v>46221</v>
      </c>
      <c r="B22" s="12">
        <f>+'[4]LIVREUR EXTERNE'!B$9</f>
        <v>150</v>
      </c>
      <c r="C22" s="12">
        <f>+'[4]LIVREUR EXTERNE'!C$9</f>
        <v>930</v>
      </c>
      <c r="D22" s="12">
        <f>+'[4]LIVREUR EXTERNE'!D$9</f>
        <v>680</v>
      </c>
      <c r="E22" s="12">
        <f>+'[4]LIVREUR EXTERNE'!E$9</f>
        <v>0</v>
      </c>
      <c r="F22" s="12">
        <f>+'[4]LIVREUR EXTERNE'!F$9</f>
        <v>0</v>
      </c>
      <c r="G22" s="12">
        <f>+'[4]LIVREUR EXTERNE'!G$9</f>
        <v>0</v>
      </c>
      <c r="H22" s="12">
        <f>+'[4]LIVREUR EXTERNE'!H$9</f>
        <v>0</v>
      </c>
      <c r="I22" s="12">
        <f>+'[4]LIVREUR EXTERNE'!I$9</f>
        <v>0</v>
      </c>
      <c r="J22" s="12">
        <f>+'[4]LIVREUR EXTERNE'!J$9</f>
        <v>143750</v>
      </c>
      <c r="K22" s="5">
        <f>+'[4]LIVREUR EXTERNE'!N$9</f>
        <v>94000</v>
      </c>
      <c r="L22" s="2">
        <f t="shared" si="1"/>
        <v>153945</v>
      </c>
    </row>
    <row r="23" spans="1:12" x14ac:dyDescent="0.25">
      <c r="A23" s="7">
        <v>46222</v>
      </c>
      <c r="B23" s="12">
        <f>+'[5]LIVREUR EXTERNE'!B$9</f>
        <v>150</v>
      </c>
      <c r="C23" s="12">
        <f>+'[5]LIVREUR EXTERNE'!C$9</f>
        <v>1080</v>
      </c>
      <c r="D23" s="12">
        <f>+'[5]LIVREUR EXTERNE'!D$9</f>
        <v>726</v>
      </c>
      <c r="E23" s="12">
        <f>+'[5]LIVREUR EXTERNE'!E$9</f>
        <v>0</v>
      </c>
      <c r="F23" s="12">
        <f>+'[5]LIVREUR EXTERNE'!F$9</f>
        <v>0</v>
      </c>
      <c r="G23" s="12">
        <f>+'[5]LIVREUR EXTERNE'!G$9</f>
        <v>0</v>
      </c>
      <c r="H23" s="12">
        <f>+'[5]LIVREUR EXTERNE'!H$9</f>
        <v>0</v>
      </c>
      <c r="I23" s="12">
        <f>+'[5]LIVREUR EXTERNE'!I$9</f>
        <v>0</v>
      </c>
      <c r="J23" s="12">
        <f>+'[5]LIVREUR EXTERNE'!J$9</f>
        <v>159600</v>
      </c>
      <c r="K23" s="5">
        <f>+'[5]LIVREUR EXTERNE'!N$9</f>
        <v>84000</v>
      </c>
      <c r="L23" s="2">
        <f t="shared" si="1"/>
        <v>229545</v>
      </c>
    </row>
    <row r="24" spans="1:12" x14ac:dyDescent="0.25">
      <c r="A24" s="7">
        <v>46223</v>
      </c>
      <c r="B24" s="12">
        <f>+'[6]LIVREUR EXTERNE'!B$9</f>
        <v>150</v>
      </c>
      <c r="C24" s="12">
        <f>+'[6]LIVREUR EXTERNE'!C$9</f>
        <v>1130</v>
      </c>
      <c r="D24" s="12">
        <f>+'[6]LIVREUR EXTERNE'!D$9</f>
        <v>780</v>
      </c>
      <c r="E24" s="12">
        <f>+'[6]LIVREUR EXTERNE'!E$9</f>
        <v>0</v>
      </c>
      <c r="F24" s="12">
        <f>+'[6]LIVREUR EXTERNE'!F$9</f>
        <v>0</v>
      </c>
      <c r="G24" s="12">
        <f>+'[6]LIVREUR EXTERNE'!G$9</f>
        <v>0</v>
      </c>
      <c r="H24" s="12">
        <f>+'[6]LIVREUR EXTERNE'!H$9</f>
        <v>0</v>
      </c>
      <c r="I24" s="12">
        <f>+'[6]LIVREUR EXTERNE'!I$9</f>
        <v>0</v>
      </c>
      <c r="J24" s="12">
        <f>+'[6]LIVREUR EXTERNE'!J$9</f>
        <v>168750</v>
      </c>
      <c r="K24" s="5">
        <f>+'[6]LIVREUR EXTERNE'!N$9</f>
        <v>205000</v>
      </c>
      <c r="L24" s="2">
        <f t="shared" si="1"/>
        <v>193295</v>
      </c>
    </row>
    <row r="25" spans="1:12" x14ac:dyDescent="0.25">
      <c r="A25" s="7">
        <v>46224</v>
      </c>
      <c r="B25" s="12">
        <f>+'[7]LIVREUR EXTERNE'!B$9</f>
        <v>150</v>
      </c>
      <c r="C25" s="12">
        <f>+'[7]LIVREUR EXTERNE'!C$9</f>
        <v>930</v>
      </c>
      <c r="D25" s="12">
        <f>+'[7]LIVREUR EXTERNE'!D$9</f>
        <v>695</v>
      </c>
      <c r="E25" s="12">
        <f>+'[7]LIVREUR EXTERNE'!E$9</f>
        <v>0</v>
      </c>
      <c r="F25" s="12">
        <f>+'[7]LIVREUR EXTERNE'!F$9</f>
        <v>0</v>
      </c>
      <c r="G25" s="12">
        <f>+'[7]LIVREUR EXTERNE'!G$9</f>
        <v>0</v>
      </c>
      <c r="H25" s="12">
        <f>+'[7]LIVREUR EXTERNE'!H$9</f>
        <v>0</v>
      </c>
      <c r="I25" s="12">
        <f>+'[7]LIVREUR EXTERNE'!I$9</f>
        <v>0</v>
      </c>
      <c r="J25" s="12">
        <f>+'[7]LIVREUR EXTERNE'!J$9</f>
        <v>145250</v>
      </c>
      <c r="K25" s="5">
        <f>+'[7]LIVREUR EXTERNE'!N$9</f>
        <v>145500</v>
      </c>
      <c r="L25" s="2">
        <f t="shared" si="1"/>
        <v>193045</v>
      </c>
    </row>
    <row r="26" spans="1:12" x14ac:dyDescent="0.25">
      <c r="A26" s="7">
        <v>46225</v>
      </c>
      <c r="B26" s="12">
        <f>+'[8]LIVREUR EXTERNE'!B$9</f>
        <v>150</v>
      </c>
      <c r="C26" s="12">
        <f>+'[8]LIVREUR EXTERNE'!C$9</f>
        <v>900</v>
      </c>
      <c r="D26" s="12">
        <f>+'[8]LIVREUR EXTERNE'!D$9</f>
        <v>695</v>
      </c>
      <c r="E26" s="12">
        <f>+'[8]LIVREUR EXTERNE'!E$9</f>
        <v>0</v>
      </c>
      <c r="F26" s="12">
        <f>+'[8]LIVREUR EXTERNE'!F$9</f>
        <v>0</v>
      </c>
      <c r="G26" s="12">
        <f>+'[8]LIVREUR EXTERNE'!G$9</f>
        <v>0</v>
      </c>
      <c r="H26" s="12">
        <f>+'[8]LIVREUR EXTERNE'!H$9</f>
        <v>0</v>
      </c>
      <c r="I26" s="12">
        <f>+'[8]LIVREUR EXTERNE'!I$9</f>
        <v>0</v>
      </c>
      <c r="J26" s="12">
        <f>+'[8]LIVREUR EXTERNE'!J$9</f>
        <v>143000</v>
      </c>
      <c r="K26" s="5">
        <f>+'[8]LIVREUR EXTERNE'!N$9</f>
        <v>72000</v>
      </c>
      <c r="L26" s="2">
        <f t="shared" si="1"/>
        <v>264045</v>
      </c>
    </row>
    <row r="27" spans="1:12" x14ac:dyDescent="0.25">
      <c r="A27" s="7">
        <v>46226</v>
      </c>
      <c r="B27" s="12">
        <f>+'[9]LIVREUR EXTERNE'!B$9</f>
        <v>150</v>
      </c>
      <c r="C27" s="12">
        <f>+'[9]LIVREUR EXTERNE'!C$9</f>
        <v>820</v>
      </c>
      <c r="D27" s="12">
        <f>+'[9]LIVREUR EXTERNE'!D$9</f>
        <v>645</v>
      </c>
      <c r="E27" s="12">
        <f>+'[9]LIVREUR EXTERNE'!E$9</f>
        <v>0</v>
      </c>
      <c r="F27" s="12">
        <f>+'[9]LIVREUR EXTERNE'!F$9</f>
        <v>0</v>
      </c>
      <c r="G27" s="12">
        <f>+'[9]LIVREUR EXTERNE'!G$9</f>
        <v>0</v>
      </c>
      <c r="H27" s="12">
        <f>+'[9]LIVREUR EXTERNE'!H$9</f>
        <v>0</v>
      </c>
      <c r="I27" s="12">
        <f>+'[9]LIVREUR EXTERNE'!I$9</f>
        <v>15</v>
      </c>
      <c r="J27" s="12">
        <f>+'[9]LIVREUR EXTERNE'!J$9</f>
        <v>133500</v>
      </c>
      <c r="K27" s="5">
        <f>+'[9]LIVREUR EXTERNE'!N$9</f>
        <v>207500</v>
      </c>
      <c r="L27" s="2">
        <f t="shared" si="1"/>
        <v>190045</v>
      </c>
    </row>
    <row r="28" spans="1:12" x14ac:dyDescent="0.25">
      <c r="A28" s="7">
        <v>46227</v>
      </c>
      <c r="B28" s="12">
        <f>+'[10]LIVREUR EXTERNE'!B$9</f>
        <v>150</v>
      </c>
      <c r="C28" s="12">
        <f>+'[10]LIVREUR EXTERNE'!C$9</f>
        <v>880</v>
      </c>
      <c r="D28" s="12">
        <f>+'[10]LIVREUR EXTERNE'!D$9</f>
        <v>670</v>
      </c>
      <c r="E28" s="12">
        <f>+'[10]LIVREUR EXTERNE'!E$9</f>
        <v>0</v>
      </c>
      <c r="F28" s="12">
        <f>+'[10]LIVREUR EXTERNE'!F$9</f>
        <v>0</v>
      </c>
      <c r="G28" s="12">
        <f>+'[10]LIVREUR EXTERNE'!G$9</f>
        <v>0</v>
      </c>
      <c r="H28" s="12">
        <f>+'[10]LIVREUR EXTERNE'!H$9</f>
        <v>0</v>
      </c>
      <c r="I28" s="12">
        <f>+'[10]LIVREUR EXTERNE'!I$9</f>
        <v>0</v>
      </c>
      <c r="J28" s="12">
        <f>+'[10]LIVREUR EXTERNE'!J$9</f>
        <v>139000</v>
      </c>
      <c r="K28" s="5">
        <f>+'[10]LIVREUR EXTERNE'!N$9</f>
        <v>139000</v>
      </c>
      <c r="L28" s="2">
        <f t="shared" si="1"/>
        <v>190045</v>
      </c>
    </row>
    <row r="29" spans="1:12" x14ac:dyDescent="0.25">
      <c r="A29" s="7">
        <v>46228</v>
      </c>
      <c r="B29" s="12">
        <f>+'[11]LIVREUR EXTERNE'!B$9</f>
        <v>150</v>
      </c>
      <c r="C29" s="12">
        <f>+'[11]LIVREUR EXTERNE'!C$9</f>
        <v>885</v>
      </c>
      <c r="D29" s="12">
        <f>+'[11]LIVREUR EXTERNE'!D$9</f>
        <v>580</v>
      </c>
      <c r="E29" s="12">
        <f>+'[11]LIVREUR EXTERNE'!E$9</f>
        <v>0</v>
      </c>
      <c r="F29" s="12">
        <f>+'[11]LIVREUR EXTERNE'!F$9</f>
        <v>0</v>
      </c>
      <c r="G29" s="12">
        <f>+'[11]LIVREUR EXTERNE'!G$9</f>
        <v>0</v>
      </c>
      <c r="H29" s="12">
        <f>+'[11]LIVREUR EXTERNE'!H$9</f>
        <v>0</v>
      </c>
      <c r="I29" s="12">
        <f>+'[11]LIVREUR EXTERNE'!I$9</f>
        <v>0</v>
      </c>
      <c r="J29" s="12">
        <f>+'[11]LIVREUR EXTERNE'!J$9</f>
        <v>130375</v>
      </c>
      <c r="K29" s="5">
        <f>+'[11]LIVREUR EXTERNE'!N$9</f>
        <v>53500</v>
      </c>
      <c r="L29" s="2">
        <f t="shared" si="1"/>
        <v>266920</v>
      </c>
    </row>
    <row r="30" spans="1:12" x14ac:dyDescent="0.25">
      <c r="A30" s="7">
        <v>46229</v>
      </c>
      <c r="B30" s="12">
        <f>+'[12]LIVREUR EXTERNE'!B$9</f>
        <v>250</v>
      </c>
      <c r="C30" s="12">
        <f>+'[12]LIVREUR EXTERNE'!C$9</f>
        <v>1120</v>
      </c>
      <c r="D30" s="12">
        <f>+'[12]LIVREUR EXTERNE'!D$9</f>
        <v>740</v>
      </c>
      <c r="E30" s="12">
        <f>+'[12]LIVREUR EXTERNE'!E$9</f>
        <v>0</v>
      </c>
      <c r="F30" s="12">
        <f>+'[12]LIVREUR EXTERNE'!F$9</f>
        <v>0</v>
      </c>
      <c r="G30" s="12">
        <f>+'[12]LIVREUR EXTERNE'!G$9</f>
        <v>0</v>
      </c>
      <c r="H30" s="12">
        <f>+'[12]LIVREUR EXTERNE'!H$9</f>
        <v>0</v>
      </c>
      <c r="I30" s="12">
        <f>+'[12]LIVREUR EXTERNE'!I$9</f>
        <v>0</v>
      </c>
      <c r="J30" s="12">
        <f>+'[12]LIVREUR EXTERNE'!J$9</f>
        <v>168000</v>
      </c>
      <c r="K30" s="5">
        <f>+'[12]LIVREUR EXTERNE'!N$9</f>
        <v>85000</v>
      </c>
      <c r="L30" s="2">
        <f t="shared" si="1"/>
        <v>349920</v>
      </c>
    </row>
    <row r="31" spans="1:12" x14ac:dyDescent="0.25">
      <c r="A31" s="7">
        <v>46230</v>
      </c>
      <c r="B31" s="12">
        <f>+'[13]LIVREUR EXTERNE'!B$9</f>
        <v>90</v>
      </c>
      <c r="C31" s="12">
        <f>+'[13]LIVREUR EXTERNE'!C$9</f>
        <v>1130</v>
      </c>
      <c r="D31" s="12">
        <f>+'[13]LIVREUR EXTERNE'!D$9</f>
        <v>720</v>
      </c>
      <c r="E31" s="12">
        <f>+'[13]LIVREUR EXTERNE'!E$9</f>
        <v>12</v>
      </c>
      <c r="F31" s="12">
        <f>+'[13]LIVREUR EXTERNE'!F$9</f>
        <v>0</v>
      </c>
      <c r="G31" s="12">
        <f>+'[13]LIVREUR EXTERNE'!F$9</f>
        <v>0</v>
      </c>
      <c r="H31" s="12">
        <f>+'[13]LIVREUR EXTERNE'!G$9</f>
        <v>0</v>
      </c>
      <c r="I31" s="12">
        <f>+'[13]LIVREUR EXTERNE'!H$9</f>
        <v>0</v>
      </c>
      <c r="J31" s="12">
        <f>+'[13]LIVREUR EXTERNE'!J$9</f>
        <v>162270</v>
      </c>
      <c r="K31" s="5">
        <f>+'[13]LIVREUR EXTERNE'!N$9</f>
        <v>245000</v>
      </c>
      <c r="L31" s="2">
        <f t="shared" si="1"/>
        <v>267190</v>
      </c>
    </row>
    <row r="32" spans="1:12" x14ac:dyDescent="0.25">
      <c r="A32" s="7">
        <v>46231</v>
      </c>
      <c r="B32" s="12">
        <f>+'[14]LIVREUR EXTERNE'!B$9</f>
        <v>150</v>
      </c>
      <c r="C32" s="12">
        <f>+'[14]LIVREUR EXTERNE'!C$9</f>
        <v>1096</v>
      </c>
      <c r="D32" s="12">
        <f>+'[14]LIVREUR EXTERNE'!D$9</f>
        <v>700</v>
      </c>
      <c r="E32" s="12">
        <f>+'[14]LIVREUR EXTERNE'!E$9</f>
        <v>0</v>
      </c>
      <c r="F32" s="12">
        <f>+'[14]LIVREUR EXTERNE'!F$9</f>
        <v>0</v>
      </c>
      <c r="G32" s="12">
        <f>+'[14]LIVREUR EXTERNE'!G$9</f>
        <v>0</v>
      </c>
      <c r="H32" s="12">
        <f>+'[14]LIVREUR EXTERNE'!H$9</f>
        <v>0</v>
      </c>
      <c r="I32" s="12">
        <f>+'[14]LIVREUR EXTERNE'!I$9</f>
        <v>0</v>
      </c>
      <c r="J32" s="12">
        <f>+'[14]LIVREUR EXTERNE'!J$9</f>
        <v>158200</v>
      </c>
      <c r="K32" s="5">
        <f>+'[14]LIVREUR EXTERNE'!N$9</f>
        <v>159500</v>
      </c>
      <c r="L32" s="2">
        <f t="shared" si="1"/>
        <v>265890</v>
      </c>
    </row>
    <row r="33" spans="1:12" x14ac:dyDescent="0.25">
      <c r="A33" s="7">
        <v>46232</v>
      </c>
      <c r="B33" s="12">
        <f>+'[15]LIVREUR EXTERNE'!B$9</f>
        <v>150</v>
      </c>
      <c r="C33" s="12">
        <f>+'[15]LIVREUR EXTERNE'!C$9</f>
        <v>960</v>
      </c>
      <c r="D33" s="12">
        <f>+'[15]LIVREUR EXTERNE'!D$9</f>
        <v>700</v>
      </c>
      <c r="E33" s="12">
        <f>+'[15]LIVREUR EXTERNE'!E$9</f>
        <v>0</v>
      </c>
      <c r="F33" s="12">
        <f>+'[15]LIVREUR EXTERNE'!F$9</f>
        <v>0</v>
      </c>
      <c r="G33" s="12">
        <f>+'[15]LIVREUR EXTERNE'!G$9</f>
        <v>0</v>
      </c>
      <c r="H33" s="12">
        <f>+'[15]LIVREUR EXTERNE'!H$9</f>
        <v>0</v>
      </c>
      <c r="I33" s="12">
        <f>+'[15]LIVREUR EXTERNE'!I$9</f>
        <v>0</v>
      </c>
      <c r="J33" s="12">
        <f>+'[15]LIVREUR EXTERNE'!J$9</f>
        <v>148000</v>
      </c>
      <c r="K33" s="5">
        <f>+'[15]LIVREUR EXTERNE'!N$9</f>
        <v>149500</v>
      </c>
      <c r="L33" s="2">
        <f t="shared" si="1"/>
        <v>264390</v>
      </c>
    </row>
    <row r="34" spans="1:12" x14ac:dyDescent="0.25">
      <c r="A34" s="7">
        <v>46233</v>
      </c>
      <c r="B34" s="12">
        <f>+'[16]LIVREUR EXTERNE'!B$9</f>
        <v>150</v>
      </c>
      <c r="C34" s="12">
        <f>+'[16]LIVREUR EXTERNE'!C$9</f>
        <v>1010</v>
      </c>
      <c r="D34" s="12">
        <f>+'[16]LIVREUR EXTERNE'!D$9</f>
        <v>700</v>
      </c>
      <c r="E34" s="12">
        <f>+'[16]LIVREUR EXTERNE'!E$9</f>
        <v>14</v>
      </c>
      <c r="F34" s="12">
        <f>+'[16]LIVREUR EXTERNE'!F$9</f>
        <v>0</v>
      </c>
      <c r="G34" s="12">
        <f>+'[16]LIVREUR EXTERNE'!G$9</f>
        <v>0</v>
      </c>
      <c r="H34" s="12">
        <f>+'[16]LIVREUR EXTERNE'!H$9</f>
        <v>0</v>
      </c>
      <c r="I34" s="12">
        <f>+'[16]LIVREUR EXTERNE'!I$9</f>
        <v>0</v>
      </c>
      <c r="J34" s="12">
        <f>+'[16]LIVREUR EXTERNE'!J$9</f>
        <v>153990</v>
      </c>
      <c r="K34" s="5">
        <f>+'[16]LIVREUR EXTERNE'!N$9</f>
        <v>100364</v>
      </c>
      <c r="L34" s="2">
        <f t="shared" si="1"/>
        <v>318016</v>
      </c>
    </row>
    <row r="35" spans="1:12" x14ac:dyDescent="0.25">
      <c r="A35" s="7">
        <v>46234</v>
      </c>
      <c r="B35" s="12">
        <f>+'[17]LIVREUR EXTERNE'!B$9</f>
        <v>0</v>
      </c>
      <c r="C35" s="12">
        <f>+'[17]LIVREUR EXTERNE'!C$9</f>
        <v>890</v>
      </c>
      <c r="D35" s="12">
        <f>+'[17]LIVREUR EXTERNE'!D$9</f>
        <v>500</v>
      </c>
      <c r="E35" s="12">
        <f>+'[17]LIVREUR EXTERNE'!E$9</f>
        <v>0</v>
      </c>
      <c r="F35" s="12">
        <f>+'[17]LIVREUR EXTERNE'!F$9</f>
        <v>0</v>
      </c>
      <c r="G35" s="12">
        <f>+'[17]LIVREUR EXTERNE'!G$9</f>
        <v>0</v>
      </c>
      <c r="H35" s="12">
        <f>+'[17]LIVREUR EXTERNE'!H$9</f>
        <v>0</v>
      </c>
      <c r="I35" s="12">
        <f>+'[17]LIVREUR EXTERNE'!I$9</f>
        <v>0</v>
      </c>
      <c r="J35" s="12">
        <f>+'[17]LIVREUR EXTERNE'!J$9</f>
        <v>116750</v>
      </c>
      <c r="K35" s="5">
        <f>+'[17]LIVREUR EXTERNE'!N$9</f>
        <v>171500</v>
      </c>
      <c r="L35" s="2">
        <f t="shared" si="1"/>
        <v>263266</v>
      </c>
    </row>
    <row r="36" spans="1:12" x14ac:dyDescent="0.25">
      <c r="A36" s="8" t="s">
        <v>13</v>
      </c>
      <c r="B36" s="11">
        <f>+SUM(B4:B35)</f>
        <v>4690</v>
      </c>
      <c r="C36" s="11">
        <f t="shared" ref="C36:J36" si="2">+SUM(C4:C35)</f>
        <v>30352</v>
      </c>
      <c r="D36" s="11">
        <f t="shared" si="2"/>
        <v>21608</v>
      </c>
      <c r="E36" s="11">
        <f t="shared" si="2"/>
        <v>88</v>
      </c>
      <c r="F36" s="11">
        <f t="shared" si="2"/>
        <v>0</v>
      </c>
      <c r="G36" s="11">
        <f t="shared" si="2"/>
        <v>0</v>
      </c>
      <c r="H36" s="11">
        <f t="shared" si="2"/>
        <v>0</v>
      </c>
      <c r="I36" s="11">
        <f t="shared" si="2"/>
        <v>25</v>
      </c>
      <c r="J36" s="11">
        <f t="shared" si="2"/>
        <v>4641380</v>
      </c>
      <c r="K36" s="9">
        <f>+SUM(K4:K35)</f>
        <v>4378114</v>
      </c>
      <c r="L36" s="9">
        <f>+K36-J36</f>
        <v>-263266</v>
      </c>
    </row>
  </sheetData>
  <mergeCells count="6">
    <mergeCell ref="L2:L3"/>
    <mergeCell ref="A1:I1"/>
    <mergeCell ref="A2:A3"/>
    <mergeCell ref="B2:G2"/>
    <mergeCell ref="J2:J3"/>
    <mergeCell ref="K2:K3"/>
  </mergeCells>
  <pageMargins left="1.59" right="0" top="0.69" bottom="0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6"/>
  <sheetViews>
    <sheetView tabSelected="1" topLeftCell="A2" workbookViewId="0">
      <selection activeCell="A2" sqref="A2:L36"/>
    </sheetView>
  </sheetViews>
  <sheetFormatPr baseColWidth="10" defaultRowHeight="15" x14ac:dyDescent="0.25"/>
  <cols>
    <col min="1" max="1" width="10.5703125" customWidth="1"/>
    <col min="2" max="2" width="5" customWidth="1"/>
    <col min="3" max="3" width="6.7109375" customWidth="1"/>
    <col min="4" max="4" width="5.85546875" customWidth="1"/>
    <col min="5" max="5" width="5.42578125" customWidth="1"/>
    <col min="6" max="6" width="5.7109375" customWidth="1"/>
    <col min="7" max="7" width="6.140625" customWidth="1"/>
    <col min="8" max="8" width="5.42578125" customWidth="1"/>
    <col min="9" max="9" width="7.28515625" customWidth="1"/>
    <col min="10" max="10" width="9.7109375" bestFit="1" customWidth="1"/>
    <col min="11" max="11" width="10.7109375" bestFit="1" customWidth="1"/>
    <col min="12" max="12" width="8.85546875" bestFit="1" customWidth="1"/>
  </cols>
  <sheetData>
    <row r="1" spans="1:12" x14ac:dyDescent="0.25">
      <c r="A1" s="18" t="s">
        <v>11</v>
      </c>
      <c r="B1" s="18"/>
      <c r="C1" s="18"/>
      <c r="D1" s="18"/>
      <c r="E1" s="18"/>
      <c r="F1" s="18"/>
      <c r="G1" s="18"/>
      <c r="H1" s="18"/>
      <c r="I1" s="18"/>
      <c r="J1" s="11" t="s">
        <v>19</v>
      </c>
      <c r="K1" s="9"/>
      <c r="L1" s="10">
        <v>46204</v>
      </c>
    </row>
    <row r="2" spans="1:12" x14ac:dyDescent="0.25">
      <c r="A2" s="22" t="s">
        <v>10</v>
      </c>
      <c r="B2" s="23" t="s">
        <v>0</v>
      </c>
      <c r="C2" s="23"/>
      <c r="D2" s="23"/>
      <c r="E2" s="23"/>
      <c r="F2" s="23"/>
      <c r="G2" s="23"/>
      <c r="H2" s="24" t="s">
        <v>1</v>
      </c>
      <c r="I2" s="24" t="s">
        <v>2</v>
      </c>
      <c r="J2" s="23" t="s">
        <v>3</v>
      </c>
      <c r="K2" s="23" t="s">
        <v>8</v>
      </c>
      <c r="L2" s="23" t="s">
        <v>9</v>
      </c>
    </row>
    <row r="3" spans="1:12" ht="22.5" x14ac:dyDescent="0.25">
      <c r="A3" s="22"/>
      <c r="B3" s="24">
        <v>40</v>
      </c>
      <c r="C3" s="24">
        <v>75</v>
      </c>
      <c r="D3" s="24">
        <v>100</v>
      </c>
      <c r="E3" s="24" t="s">
        <v>4</v>
      </c>
      <c r="F3" s="24" t="s">
        <v>5</v>
      </c>
      <c r="G3" s="24" t="s">
        <v>6</v>
      </c>
      <c r="H3" s="24">
        <v>80</v>
      </c>
      <c r="I3" s="24">
        <v>100</v>
      </c>
      <c r="J3" s="23"/>
      <c r="K3" s="23"/>
      <c r="L3" s="23"/>
    </row>
    <row r="4" spans="1:12" ht="22.5" x14ac:dyDescent="0.25">
      <c r="A4" s="6" t="s">
        <v>7</v>
      </c>
      <c r="B4" s="24">
        <v>0</v>
      </c>
      <c r="C4" s="24">
        <v>0</v>
      </c>
      <c r="D4" s="24">
        <v>0</v>
      </c>
      <c r="E4" s="24">
        <v>0</v>
      </c>
      <c r="F4" s="24">
        <v>0</v>
      </c>
      <c r="G4" s="24">
        <v>0</v>
      </c>
      <c r="H4" s="24">
        <v>0</v>
      </c>
      <c r="I4" s="24">
        <v>0</v>
      </c>
      <c r="J4" s="24">
        <v>0</v>
      </c>
      <c r="K4" s="24">
        <v>0</v>
      </c>
      <c r="L4" s="24">
        <v>-209970</v>
      </c>
    </row>
    <row r="5" spans="1:12" x14ac:dyDescent="0.25">
      <c r="A5" s="25">
        <v>46204</v>
      </c>
      <c r="B5" s="14"/>
      <c r="C5" s="14">
        <v>775</v>
      </c>
      <c r="D5" s="14">
        <v>700</v>
      </c>
      <c r="E5" s="14">
        <v>28</v>
      </c>
      <c r="F5" s="14"/>
      <c r="G5" s="26"/>
      <c r="H5" s="26"/>
      <c r="I5" s="26"/>
      <c r="J5" s="26">
        <f>+B5*40+C5*75+D5*100+E5*160+F5*160+H5*80+I5*100</f>
        <v>132605</v>
      </c>
      <c r="K5" s="17">
        <v>132600</v>
      </c>
      <c r="L5" s="24">
        <f>+J5+L4-K5</f>
        <v>-209965</v>
      </c>
    </row>
    <row r="6" spans="1:12" x14ac:dyDescent="0.25">
      <c r="A6" s="25">
        <v>46205</v>
      </c>
      <c r="B6" s="14"/>
      <c r="C6" s="14">
        <v>790</v>
      </c>
      <c r="D6" s="14">
        <v>680</v>
      </c>
      <c r="E6" s="14">
        <v>28</v>
      </c>
      <c r="F6" s="14"/>
      <c r="G6" s="26"/>
      <c r="H6" s="26"/>
      <c r="I6" s="14">
        <v>10</v>
      </c>
      <c r="J6" s="26">
        <f t="shared" ref="J6:J18" si="0">+B6*40+C6*75+D6*100+E6*160+F6*160+H6*80+I6*100</f>
        <v>132730</v>
      </c>
      <c r="K6" s="17">
        <v>131725</v>
      </c>
      <c r="L6" s="24">
        <f t="shared" ref="L6:L35" si="1">+J6+L5-K6</f>
        <v>-208960</v>
      </c>
    </row>
    <row r="7" spans="1:12" x14ac:dyDescent="0.25">
      <c r="A7" s="25">
        <v>46206</v>
      </c>
      <c r="B7" s="14"/>
      <c r="C7" s="14">
        <v>710</v>
      </c>
      <c r="D7" s="14">
        <v>675</v>
      </c>
      <c r="E7" s="14">
        <v>28</v>
      </c>
      <c r="F7" s="14"/>
      <c r="G7" s="26"/>
      <c r="H7" s="26"/>
      <c r="I7" s="14"/>
      <c r="J7" s="26">
        <f t="shared" si="0"/>
        <v>125230</v>
      </c>
      <c r="K7" s="17">
        <v>125500</v>
      </c>
      <c r="L7" s="24">
        <f t="shared" si="1"/>
        <v>-209230</v>
      </c>
    </row>
    <row r="8" spans="1:12" x14ac:dyDescent="0.25">
      <c r="A8" s="25">
        <v>46207</v>
      </c>
      <c r="B8" s="14"/>
      <c r="C8" s="14">
        <v>755</v>
      </c>
      <c r="D8" s="14">
        <v>680</v>
      </c>
      <c r="E8" s="14">
        <v>31</v>
      </c>
      <c r="F8" s="14"/>
      <c r="G8" s="26"/>
      <c r="H8" s="26"/>
      <c r="I8" s="14"/>
      <c r="J8" s="26">
        <f t="shared" si="0"/>
        <v>129585</v>
      </c>
      <c r="K8" s="17">
        <v>130600</v>
      </c>
      <c r="L8" s="24">
        <f t="shared" si="1"/>
        <v>-210245</v>
      </c>
    </row>
    <row r="9" spans="1:12" x14ac:dyDescent="0.25">
      <c r="A9" s="25">
        <v>46208</v>
      </c>
      <c r="B9" s="14"/>
      <c r="C9" s="14">
        <v>525</v>
      </c>
      <c r="D9" s="14">
        <v>325</v>
      </c>
      <c r="E9" s="14">
        <v>30</v>
      </c>
      <c r="F9" s="14"/>
      <c r="G9" s="26"/>
      <c r="H9" s="26"/>
      <c r="I9" s="14"/>
      <c r="J9" s="26">
        <f t="shared" si="0"/>
        <v>76675</v>
      </c>
      <c r="K9" s="17">
        <v>77675</v>
      </c>
      <c r="L9" s="24">
        <f t="shared" si="1"/>
        <v>-211245</v>
      </c>
    </row>
    <row r="10" spans="1:12" x14ac:dyDescent="0.25">
      <c r="A10" s="25">
        <v>46209</v>
      </c>
      <c r="B10" s="14"/>
      <c r="C10" s="14">
        <v>775</v>
      </c>
      <c r="D10" s="14">
        <v>675</v>
      </c>
      <c r="E10" s="14">
        <v>31</v>
      </c>
      <c r="F10" s="14"/>
      <c r="G10" s="26"/>
      <c r="H10" s="26"/>
      <c r="I10" s="14"/>
      <c r="J10" s="26">
        <f t="shared" si="0"/>
        <v>130585</v>
      </c>
      <c r="K10" s="17">
        <v>131600</v>
      </c>
      <c r="L10" s="24">
        <f t="shared" si="1"/>
        <v>-212260</v>
      </c>
    </row>
    <row r="11" spans="1:12" x14ac:dyDescent="0.25">
      <c r="A11" s="25">
        <v>46210</v>
      </c>
      <c r="B11" s="14"/>
      <c r="C11" s="14">
        <v>775</v>
      </c>
      <c r="D11" s="14">
        <v>675</v>
      </c>
      <c r="E11" s="14">
        <v>23</v>
      </c>
      <c r="F11" s="14"/>
      <c r="G11" s="26"/>
      <c r="H11" s="26"/>
      <c r="I11" s="14"/>
      <c r="J11" s="26">
        <f t="shared" si="0"/>
        <v>129305</v>
      </c>
      <c r="K11" s="17">
        <v>125300</v>
      </c>
      <c r="L11" s="24">
        <f t="shared" si="1"/>
        <v>-208255</v>
      </c>
    </row>
    <row r="12" spans="1:12" x14ac:dyDescent="0.25">
      <c r="A12" s="25">
        <v>46211</v>
      </c>
      <c r="B12" s="14"/>
      <c r="C12" s="14">
        <v>775</v>
      </c>
      <c r="D12" s="14">
        <v>690</v>
      </c>
      <c r="E12" s="14">
        <v>26</v>
      </c>
      <c r="F12" s="14"/>
      <c r="G12" s="26"/>
      <c r="H12" s="26"/>
      <c r="I12" s="14">
        <v>20</v>
      </c>
      <c r="J12" s="26">
        <f t="shared" si="0"/>
        <v>133285</v>
      </c>
      <c r="K12" s="17">
        <v>137250</v>
      </c>
      <c r="L12" s="24">
        <f t="shared" si="1"/>
        <v>-212220</v>
      </c>
    </row>
    <row r="13" spans="1:12" x14ac:dyDescent="0.25">
      <c r="A13" s="25">
        <v>46212</v>
      </c>
      <c r="B13" s="14"/>
      <c r="C13" s="14">
        <v>725</v>
      </c>
      <c r="D13" s="14">
        <v>675</v>
      </c>
      <c r="E13" s="14">
        <v>23</v>
      </c>
      <c r="F13" s="14"/>
      <c r="G13" s="26"/>
      <c r="H13" s="26"/>
      <c r="I13" s="14"/>
      <c r="J13" s="26">
        <f t="shared" si="0"/>
        <v>125555</v>
      </c>
      <c r="K13" s="17">
        <v>120000</v>
      </c>
      <c r="L13" s="24">
        <f t="shared" si="1"/>
        <v>-206665</v>
      </c>
    </row>
    <row r="14" spans="1:12" x14ac:dyDescent="0.25">
      <c r="A14" s="25">
        <v>46213</v>
      </c>
      <c r="B14" s="14"/>
      <c r="C14" s="14">
        <v>625</v>
      </c>
      <c r="D14" s="14">
        <v>625</v>
      </c>
      <c r="E14" s="14">
        <v>23</v>
      </c>
      <c r="F14" s="14"/>
      <c r="G14" s="26"/>
      <c r="H14" s="26"/>
      <c r="I14" s="26"/>
      <c r="J14" s="26">
        <f t="shared" si="0"/>
        <v>113055</v>
      </c>
      <c r="K14" s="17">
        <v>118600</v>
      </c>
      <c r="L14" s="24">
        <f t="shared" si="1"/>
        <v>-212210</v>
      </c>
    </row>
    <row r="15" spans="1:12" x14ac:dyDescent="0.25">
      <c r="A15" s="25">
        <v>46214</v>
      </c>
      <c r="B15" s="14"/>
      <c r="C15" s="14">
        <v>530</v>
      </c>
      <c r="D15" s="14">
        <v>675</v>
      </c>
      <c r="E15" s="14">
        <v>31</v>
      </c>
      <c r="F15" s="14"/>
      <c r="G15" s="26"/>
      <c r="H15" s="26"/>
      <c r="I15" s="26"/>
      <c r="J15" s="26">
        <f t="shared" si="0"/>
        <v>112210</v>
      </c>
      <c r="K15" s="17">
        <v>113550</v>
      </c>
      <c r="L15" s="24">
        <f t="shared" si="1"/>
        <v>-213550</v>
      </c>
    </row>
    <row r="16" spans="1:12" x14ac:dyDescent="0.25">
      <c r="A16" s="25">
        <v>46215</v>
      </c>
      <c r="B16" s="14"/>
      <c r="C16" s="14">
        <v>505</v>
      </c>
      <c r="D16" s="14">
        <v>320</v>
      </c>
      <c r="E16" s="14">
        <v>30</v>
      </c>
      <c r="F16" s="14"/>
      <c r="G16" s="26"/>
      <c r="H16" s="26"/>
      <c r="I16" s="26"/>
      <c r="J16" s="26">
        <f t="shared" si="0"/>
        <v>74675</v>
      </c>
      <c r="K16" s="17">
        <v>73675</v>
      </c>
      <c r="L16" s="24">
        <f t="shared" si="1"/>
        <v>-212550</v>
      </c>
    </row>
    <row r="17" spans="1:12" x14ac:dyDescent="0.25">
      <c r="A17" s="25">
        <v>46216</v>
      </c>
      <c r="B17" s="14"/>
      <c r="C17" s="14">
        <v>720</v>
      </c>
      <c r="D17" s="14">
        <v>650</v>
      </c>
      <c r="E17" s="14">
        <v>16</v>
      </c>
      <c r="F17" s="14"/>
      <c r="G17" s="26"/>
      <c r="H17" s="26"/>
      <c r="I17" s="26"/>
      <c r="J17" s="26">
        <f t="shared" si="0"/>
        <v>121560</v>
      </c>
      <c r="K17" s="17">
        <v>122575</v>
      </c>
      <c r="L17" s="24">
        <f t="shared" si="1"/>
        <v>-213565</v>
      </c>
    </row>
    <row r="18" spans="1:12" x14ac:dyDescent="0.25">
      <c r="A18" s="25">
        <v>46217</v>
      </c>
      <c r="B18" s="26"/>
      <c r="C18" s="26">
        <v>725</v>
      </c>
      <c r="D18" s="26">
        <v>750</v>
      </c>
      <c r="E18" s="26">
        <v>26</v>
      </c>
      <c r="F18" s="26"/>
      <c r="G18" s="26"/>
      <c r="H18" s="26"/>
      <c r="I18" s="26"/>
      <c r="J18" s="26">
        <f t="shared" si="0"/>
        <v>133535</v>
      </c>
      <c r="K18" s="26">
        <v>128550</v>
      </c>
      <c r="L18" s="24">
        <f t="shared" si="1"/>
        <v>-208580</v>
      </c>
    </row>
    <row r="19" spans="1:12" x14ac:dyDescent="0.25">
      <c r="A19" s="25">
        <v>46218</v>
      </c>
      <c r="B19" s="26">
        <f>+'[1]LIVREUR EXTERNE'!B$10</f>
        <v>0</v>
      </c>
      <c r="C19" s="26">
        <f>+'[1]LIVREUR EXTERNE'!C$10</f>
        <v>710</v>
      </c>
      <c r="D19" s="26">
        <f>+'[1]LIVREUR EXTERNE'!D$10</f>
        <v>600</v>
      </c>
      <c r="E19" s="26">
        <f>+'[1]LIVREUR EXTERNE'!E$10</f>
        <v>25</v>
      </c>
      <c r="F19" s="26">
        <f>+'[1]LIVREUR EXTERNE'!F$10</f>
        <v>0</v>
      </c>
      <c r="G19" s="26">
        <f>+'[1]LIVREUR EXTERNE'!G$10</f>
        <v>0</v>
      </c>
      <c r="H19" s="26">
        <f>+'[1]LIVREUR EXTERNE'!H$10</f>
        <v>0</v>
      </c>
      <c r="I19" s="26">
        <f>+'[1]LIVREUR EXTERNE'!I$10</f>
        <v>0</v>
      </c>
      <c r="J19" s="26">
        <f>+'[1]LIVREUR EXTERNE'!J$10</f>
        <v>117250</v>
      </c>
      <c r="K19" s="26">
        <f>+'[1]LIVREUR EXTERNE'!N$10</f>
        <v>122750</v>
      </c>
      <c r="L19" s="24">
        <f t="shared" si="1"/>
        <v>-214080</v>
      </c>
    </row>
    <row r="20" spans="1:12" x14ac:dyDescent="0.25">
      <c r="A20" s="25">
        <v>46219</v>
      </c>
      <c r="B20" s="26">
        <f>+'[2]LIVREUR EXTERNE'!B$10</f>
        <v>0</v>
      </c>
      <c r="C20" s="26">
        <f>+'[2]LIVREUR EXTERNE'!C$10</f>
        <v>700</v>
      </c>
      <c r="D20" s="26">
        <f>+'[2]LIVREUR EXTERNE'!D$10</f>
        <v>625</v>
      </c>
      <c r="E20" s="26">
        <f>+'[2]LIVREUR EXTERNE'!E$10</f>
        <v>28</v>
      </c>
      <c r="F20" s="26">
        <f>+'[2]LIVREUR EXTERNE'!F$10</f>
        <v>0</v>
      </c>
      <c r="G20" s="26">
        <f>+'[2]LIVREUR EXTERNE'!G$10</f>
        <v>0</v>
      </c>
      <c r="H20" s="26">
        <f>+'[2]LIVREUR EXTERNE'!H$10</f>
        <v>0</v>
      </c>
      <c r="I20" s="26">
        <f>+'[2]LIVREUR EXTERNE'!I$10</f>
        <v>10</v>
      </c>
      <c r="J20" s="26">
        <f>+'[2]LIVREUR EXTERNE'!J$10</f>
        <v>120480</v>
      </c>
      <c r="K20" s="26">
        <f>+'[2]LIVREUR EXTERNE'!N$10</f>
        <v>119500</v>
      </c>
      <c r="L20" s="24">
        <f t="shared" si="1"/>
        <v>-213100</v>
      </c>
    </row>
    <row r="21" spans="1:12" x14ac:dyDescent="0.25">
      <c r="A21" s="25">
        <v>46220</v>
      </c>
      <c r="B21" s="26">
        <f>+'[3]LIVREUR EXTERNE'!B$10</f>
        <v>0</v>
      </c>
      <c r="C21" s="26">
        <f>+'[3]LIVREUR EXTERNE'!C$10</f>
        <v>660</v>
      </c>
      <c r="D21" s="26">
        <f>+'[3]LIVREUR EXTERNE'!D$10</f>
        <v>640</v>
      </c>
      <c r="E21" s="26">
        <f>+'[3]LIVREUR EXTERNE'!E$10</f>
        <v>28</v>
      </c>
      <c r="F21" s="26">
        <f>+'[3]LIVREUR EXTERNE'!F$10</f>
        <v>0</v>
      </c>
      <c r="G21" s="26">
        <f>+'[3]LIVREUR EXTERNE'!G$10</f>
        <v>0</v>
      </c>
      <c r="H21" s="26">
        <f>+'[3]LIVREUR EXTERNE'!H$10</f>
        <v>0</v>
      </c>
      <c r="I21" s="26">
        <f>+'[3]LIVREUR EXTERNE'!I$10</f>
        <v>0</v>
      </c>
      <c r="J21" s="26">
        <f>+'[3]LIVREUR EXTERNE'!J$10</f>
        <v>117980</v>
      </c>
      <c r="K21" s="26">
        <f>+'[3]LIVREUR EXTERNE'!N$10</f>
        <v>110000</v>
      </c>
      <c r="L21" s="24">
        <f t="shared" si="1"/>
        <v>-205120</v>
      </c>
    </row>
    <row r="22" spans="1:12" x14ac:dyDescent="0.25">
      <c r="A22" s="25">
        <v>46221</v>
      </c>
      <c r="B22" s="26">
        <f>+'[4]LIVREUR EXTERNE'!B$10</f>
        <v>0</v>
      </c>
      <c r="C22" s="26">
        <f>+'[4]LIVREUR EXTERNE'!C$10</f>
        <v>775</v>
      </c>
      <c r="D22" s="26">
        <f>+'[4]LIVREUR EXTERNE'!D$10</f>
        <v>660</v>
      </c>
      <c r="E22" s="26">
        <f>+'[4]LIVREUR EXTERNE'!E$10</f>
        <v>33</v>
      </c>
      <c r="F22" s="26">
        <f>+'[4]LIVREUR EXTERNE'!F$10</f>
        <v>0</v>
      </c>
      <c r="G22" s="26">
        <f>+'[4]LIVREUR EXTERNE'!G$10</f>
        <v>0</v>
      </c>
      <c r="H22" s="26">
        <f>+'[4]LIVREUR EXTERNE'!H$10</f>
        <v>0</v>
      </c>
      <c r="I22" s="26">
        <f>+'[4]LIVREUR EXTERNE'!I$10</f>
        <v>0</v>
      </c>
      <c r="J22" s="26">
        <f>+'[4]LIVREUR EXTERNE'!J$10</f>
        <v>129405</v>
      </c>
      <c r="K22" s="26">
        <f>+'[4]LIVREUR EXTERNE'!N$10</f>
        <v>125000</v>
      </c>
      <c r="L22" s="24">
        <f t="shared" si="1"/>
        <v>-200715</v>
      </c>
    </row>
    <row r="23" spans="1:12" x14ac:dyDescent="0.25">
      <c r="A23" s="25">
        <v>46222</v>
      </c>
      <c r="B23" s="26">
        <f>+'[5]LIVREUR EXTERNE'!B$10</f>
        <v>0</v>
      </c>
      <c r="C23" s="26">
        <f>+'[5]LIVREUR EXTERNE'!C$10</f>
        <v>475</v>
      </c>
      <c r="D23" s="26">
        <f>+'[5]LIVREUR EXTERNE'!D$10</f>
        <v>300</v>
      </c>
      <c r="E23" s="26">
        <f>+'[5]LIVREUR EXTERNE'!E$10</f>
        <v>30</v>
      </c>
      <c r="F23" s="26">
        <f>+'[5]LIVREUR EXTERNE'!F$10</f>
        <v>0</v>
      </c>
      <c r="G23" s="26">
        <f>+'[5]LIVREUR EXTERNE'!G$10</f>
        <v>0</v>
      </c>
      <c r="H23" s="26">
        <f>+'[5]LIVREUR EXTERNE'!H$10</f>
        <v>0</v>
      </c>
      <c r="I23" s="26">
        <f>+'[5]LIVREUR EXTERNE'!I$10</f>
        <v>0</v>
      </c>
      <c r="J23" s="26">
        <f>+'[5]LIVREUR EXTERNE'!J$10</f>
        <v>70425</v>
      </c>
      <c r="K23" s="26">
        <f>+'[5]LIVREUR EXTERNE'!N$10</f>
        <v>65425</v>
      </c>
      <c r="L23" s="24">
        <f t="shared" si="1"/>
        <v>-195715</v>
      </c>
    </row>
    <row r="24" spans="1:12" x14ac:dyDescent="0.25">
      <c r="A24" s="25">
        <v>46223</v>
      </c>
      <c r="B24" s="26">
        <f>+'[6]LIVREUR EXTERNE'!B$10</f>
        <v>0</v>
      </c>
      <c r="C24" s="26">
        <f>+'[6]LIVREUR EXTERNE'!C$10</f>
        <v>700</v>
      </c>
      <c r="D24" s="26">
        <f>+'[6]LIVREUR EXTERNE'!D$10</f>
        <v>640</v>
      </c>
      <c r="E24" s="26">
        <f>+'[6]LIVREUR EXTERNE'!E$10</f>
        <v>28</v>
      </c>
      <c r="F24" s="26">
        <f>+'[6]LIVREUR EXTERNE'!F$10</f>
        <v>0</v>
      </c>
      <c r="G24" s="26">
        <f>+'[6]LIVREUR EXTERNE'!G$10</f>
        <v>0</v>
      </c>
      <c r="H24" s="26">
        <f>+'[6]LIVREUR EXTERNE'!H$10</f>
        <v>0</v>
      </c>
      <c r="I24" s="26">
        <f>+'[6]LIVREUR EXTERNE'!I$10</f>
        <v>0</v>
      </c>
      <c r="J24" s="26">
        <f>+'[6]LIVREUR EXTERNE'!J$10</f>
        <v>120980</v>
      </c>
      <c r="K24" s="26">
        <f>+'[6]LIVREUR EXTERNE'!N$10</f>
        <v>121000</v>
      </c>
      <c r="L24" s="24">
        <f t="shared" si="1"/>
        <v>-195735</v>
      </c>
    </row>
    <row r="25" spans="1:12" x14ac:dyDescent="0.25">
      <c r="A25" s="25">
        <v>46224</v>
      </c>
      <c r="B25" s="26">
        <f>+'[7]LIVREUR EXTERNE'!B$10</f>
        <v>0</v>
      </c>
      <c r="C25" s="26">
        <f>+'[7]LIVREUR EXTERNE'!C$10</f>
        <v>725</v>
      </c>
      <c r="D25" s="26">
        <f>+'[7]LIVREUR EXTERNE'!D$10</f>
        <v>675</v>
      </c>
      <c r="E25" s="26">
        <f>+'[7]LIVREUR EXTERNE'!E$10</f>
        <v>28</v>
      </c>
      <c r="F25" s="26">
        <f>+'[7]LIVREUR EXTERNE'!F$10</f>
        <v>0</v>
      </c>
      <c r="G25" s="26">
        <f>+'[7]LIVREUR EXTERNE'!G$10</f>
        <v>0</v>
      </c>
      <c r="H25" s="26">
        <f>+'[7]LIVREUR EXTERNE'!H$10</f>
        <v>0</v>
      </c>
      <c r="I25" s="26">
        <f>+'[7]LIVREUR EXTERNE'!I$10</f>
        <v>15</v>
      </c>
      <c r="J25" s="26">
        <f>+'[7]LIVREUR EXTERNE'!J$10</f>
        <v>127855</v>
      </c>
      <c r="K25" s="26">
        <f>+'[7]LIVREUR EXTERNE'!N$10</f>
        <v>129000</v>
      </c>
      <c r="L25" s="24">
        <f t="shared" si="1"/>
        <v>-196880</v>
      </c>
    </row>
    <row r="26" spans="1:12" x14ac:dyDescent="0.25">
      <c r="A26" s="25">
        <v>46225</v>
      </c>
      <c r="B26" s="26">
        <f>+'[8]LIVREUR EXTERNE'!B$10</f>
        <v>0</v>
      </c>
      <c r="C26" s="26">
        <f>+'[8]LIVREUR EXTERNE'!C$10</f>
        <v>725</v>
      </c>
      <c r="D26" s="26">
        <f>+'[8]LIVREUR EXTERNE'!D$10</f>
        <v>675</v>
      </c>
      <c r="E26" s="26">
        <f>+'[8]LIVREUR EXTERNE'!E$10</f>
        <v>28</v>
      </c>
      <c r="F26" s="26">
        <f>+'[8]LIVREUR EXTERNE'!F$10</f>
        <v>0</v>
      </c>
      <c r="G26" s="26">
        <f>+'[8]LIVREUR EXTERNE'!G$10</f>
        <v>0</v>
      </c>
      <c r="H26" s="26">
        <f>+'[8]LIVREUR EXTERNE'!H$10</f>
        <v>0</v>
      </c>
      <c r="I26" s="26">
        <f>+'[8]LIVREUR EXTERNE'!I$10</f>
        <v>0</v>
      </c>
      <c r="J26" s="26">
        <f>+'[8]LIVREUR EXTERNE'!J$10</f>
        <v>126355</v>
      </c>
      <c r="K26" s="26">
        <f>+'[8]LIVREUR EXTERNE'!N$10</f>
        <v>126500</v>
      </c>
      <c r="L26" s="24">
        <f t="shared" si="1"/>
        <v>-197025</v>
      </c>
    </row>
    <row r="27" spans="1:12" x14ac:dyDescent="0.25">
      <c r="A27" s="25">
        <v>46226</v>
      </c>
      <c r="B27" s="26">
        <f>+'[9]LIVREUR EXTERNE'!B$10</f>
        <v>0</v>
      </c>
      <c r="C27" s="26">
        <f>+'[9]LIVREUR EXTERNE'!C$10</f>
        <v>750</v>
      </c>
      <c r="D27" s="26">
        <f>+'[9]LIVREUR EXTERNE'!D$10</f>
        <v>650</v>
      </c>
      <c r="E27" s="26">
        <f>+'[9]LIVREUR EXTERNE'!E$10</f>
        <v>31</v>
      </c>
      <c r="F27" s="26">
        <f>+'[9]LIVREUR EXTERNE'!F$10</f>
        <v>0</v>
      </c>
      <c r="G27" s="26">
        <f>+'[9]LIVREUR EXTERNE'!G$10</f>
        <v>0</v>
      </c>
      <c r="H27" s="26">
        <f>+'[9]LIVREUR EXTERNE'!H$10</f>
        <v>0</v>
      </c>
      <c r="I27" s="26">
        <f>+'[9]LIVREUR EXTERNE'!I$10</f>
        <v>0</v>
      </c>
      <c r="J27" s="26">
        <f>+'[9]LIVREUR EXTERNE'!J$10</f>
        <v>126210</v>
      </c>
      <c r="K27" s="26">
        <f>+'[9]LIVREUR EXTERNE'!N$10</f>
        <v>126000</v>
      </c>
      <c r="L27" s="24">
        <f t="shared" si="1"/>
        <v>-196815</v>
      </c>
    </row>
    <row r="28" spans="1:12" x14ac:dyDescent="0.25">
      <c r="A28" s="25">
        <v>46227</v>
      </c>
      <c r="B28" s="26">
        <f>+'[10]LIVREUR EXTERNE'!B$10</f>
        <v>0</v>
      </c>
      <c r="C28" s="26">
        <f>+'[10]LIVREUR EXTERNE'!C$10</f>
        <v>670</v>
      </c>
      <c r="D28" s="26">
        <f>+'[10]LIVREUR EXTERNE'!D$10</f>
        <v>675</v>
      </c>
      <c r="E28" s="26">
        <f>+'[10]LIVREUR EXTERNE'!E$10</f>
        <v>31</v>
      </c>
      <c r="F28" s="26">
        <f>+'[10]LIVREUR EXTERNE'!F$10</f>
        <v>0</v>
      </c>
      <c r="G28" s="26">
        <f>+'[10]LIVREUR EXTERNE'!G$10</f>
        <v>0</v>
      </c>
      <c r="H28" s="26">
        <f>+'[10]LIVREUR EXTERNE'!H$10</f>
        <v>0</v>
      </c>
      <c r="I28" s="26">
        <f>+'[10]LIVREUR EXTERNE'!I$10</f>
        <v>0</v>
      </c>
      <c r="J28" s="26">
        <f>+'[10]LIVREUR EXTERNE'!J$10</f>
        <v>122710</v>
      </c>
      <c r="K28" s="26">
        <f>+'[10]LIVREUR EXTERNE'!N$10</f>
        <v>122725</v>
      </c>
      <c r="L28" s="24">
        <f t="shared" si="1"/>
        <v>-196830</v>
      </c>
    </row>
    <row r="29" spans="1:12" x14ac:dyDescent="0.25">
      <c r="A29" s="25">
        <v>46228</v>
      </c>
      <c r="B29" s="26">
        <f>+'[11]LIVREUR EXTERNE'!B$10</f>
        <v>0</v>
      </c>
      <c r="C29" s="26">
        <f>+'[11]LIVREUR EXTERNE'!C$10</f>
        <v>765</v>
      </c>
      <c r="D29" s="26">
        <f>+'[11]LIVREUR EXTERNE'!D$10</f>
        <v>690</v>
      </c>
      <c r="E29" s="26">
        <f>+'[11]LIVREUR EXTERNE'!E$10</f>
        <v>36</v>
      </c>
      <c r="F29" s="26">
        <f>+'[11]LIVREUR EXTERNE'!F$10</f>
        <v>0</v>
      </c>
      <c r="G29" s="26">
        <f>+'[11]LIVREUR EXTERNE'!G$10</f>
        <v>0</v>
      </c>
      <c r="H29" s="26">
        <f>+'[11]LIVREUR EXTERNE'!H$10</f>
        <v>0</v>
      </c>
      <c r="I29" s="26">
        <f>+'[11]LIVREUR EXTERNE'!I$10</f>
        <v>0</v>
      </c>
      <c r="J29" s="26">
        <f>+'[11]LIVREUR EXTERNE'!J$10</f>
        <v>132135</v>
      </c>
      <c r="K29" s="26">
        <f>+'[11]LIVREUR EXTERNE'!N$10</f>
        <v>131150</v>
      </c>
      <c r="L29" s="24">
        <f t="shared" si="1"/>
        <v>-195845</v>
      </c>
    </row>
    <row r="30" spans="1:12" x14ac:dyDescent="0.25">
      <c r="A30" s="25">
        <v>46229</v>
      </c>
      <c r="B30" s="26">
        <f>+'[12]LIVREUR EXTERNE'!B$10</f>
        <v>0</v>
      </c>
      <c r="C30" s="26">
        <f>+'[12]LIVREUR EXTERNE'!C$10</f>
        <v>507</v>
      </c>
      <c r="D30" s="26">
        <f>+'[12]LIVREUR EXTERNE'!D$10</f>
        <v>300</v>
      </c>
      <c r="E30" s="26">
        <f>+'[12]LIVREUR EXTERNE'!E$10</f>
        <v>30</v>
      </c>
      <c r="F30" s="26">
        <f>+'[12]LIVREUR EXTERNE'!F$10</f>
        <v>0</v>
      </c>
      <c r="G30" s="26">
        <f>+'[12]LIVREUR EXTERNE'!G$10</f>
        <v>0</v>
      </c>
      <c r="H30" s="26">
        <f>+'[12]LIVREUR EXTERNE'!H$10</f>
        <v>0</v>
      </c>
      <c r="I30" s="26">
        <f>+'[12]LIVREUR EXTERNE'!I$10</f>
        <v>0</v>
      </c>
      <c r="J30" s="26">
        <f>+'[12]LIVREUR EXTERNE'!J$10</f>
        <v>72825</v>
      </c>
      <c r="K30" s="26">
        <f>+'[12]LIVREUR EXTERNE'!N$10</f>
        <v>72825</v>
      </c>
      <c r="L30" s="24">
        <f t="shared" si="1"/>
        <v>-195845</v>
      </c>
    </row>
    <row r="31" spans="1:12" x14ac:dyDescent="0.25">
      <c r="A31" s="25">
        <v>46230</v>
      </c>
      <c r="B31" s="26">
        <f>+'[13]LIVREUR EXTERNE'!B$10</f>
        <v>0</v>
      </c>
      <c r="C31" s="26">
        <f>+'[13]LIVREUR EXTERNE'!C$10</f>
        <v>782</v>
      </c>
      <c r="D31" s="26">
        <f>+'[13]LIVREUR EXTERNE'!D$10</f>
        <v>685</v>
      </c>
      <c r="E31" s="26">
        <f>+'[13]LIVREUR EXTERNE'!E$10</f>
        <v>21</v>
      </c>
      <c r="F31" s="26">
        <f>+'[13]LIVREUR EXTERNE'!F$10</f>
        <v>0</v>
      </c>
      <c r="G31" s="26">
        <f>+'[13]LIVREUR EXTERNE'!F$10</f>
        <v>0</v>
      </c>
      <c r="H31" s="26">
        <f>+'[13]LIVREUR EXTERNE'!G$10</f>
        <v>0</v>
      </c>
      <c r="I31" s="26">
        <f>+'[13]LIVREUR EXTERNE'!H$10</f>
        <v>0</v>
      </c>
      <c r="J31" s="26">
        <f>+'[13]LIVREUR EXTERNE'!J$10</f>
        <v>131110</v>
      </c>
      <c r="K31" s="26">
        <f>+'[13]LIVREUR EXTERNE'!N$10</f>
        <v>131125</v>
      </c>
      <c r="L31" s="24">
        <f t="shared" si="1"/>
        <v>-195860</v>
      </c>
    </row>
    <row r="32" spans="1:12" x14ac:dyDescent="0.25">
      <c r="A32" s="25">
        <v>46231</v>
      </c>
      <c r="B32" s="26">
        <f>+'[14]LIVREUR EXTERNE'!B$10</f>
        <v>0</v>
      </c>
      <c r="C32" s="26">
        <f>+'[14]LIVREUR EXTERNE'!C$10</f>
        <v>800</v>
      </c>
      <c r="D32" s="26">
        <f>+'[14]LIVREUR EXTERNE'!D$10</f>
        <v>780</v>
      </c>
      <c r="E32" s="26">
        <f>+'[14]LIVREUR EXTERNE'!E$10</f>
        <v>28</v>
      </c>
      <c r="F32" s="26">
        <f>+'[14]LIVREUR EXTERNE'!F$10</f>
        <v>0</v>
      </c>
      <c r="G32" s="26">
        <f>+'[14]LIVREUR EXTERNE'!G$10</f>
        <v>0</v>
      </c>
      <c r="H32" s="26">
        <f>+'[14]LIVREUR EXTERNE'!H$10</f>
        <v>0</v>
      </c>
      <c r="I32" s="26">
        <f>+'[14]LIVREUR EXTERNE'!I$10</f>
        <v>0</v>
      </c>
      <c r="J32" s="26">
        <f>+'[14]LIVREUR EXTERNE'!J$10</f>
        <v>142480</v>
      </c>
      <c r="K32" s="26">
        <f>+'[14]LIVREUR EXTERNE'!N$10</f>
        <v>143500</v>
      </c>
      <c r="L32" s="24">
        <f t="shared" si="1"/>
        <v>-196880</v>
      </c>
    </row>
    <row r="33" spans="1:12" x14ac:dyDescent="0.25">
      <c r="A33" s="25">
        <v>46232</v>
      </c>
      <c r="B33" s="26">
        <f>+'[15]LIVREUR EXTERNE'!B$10</f>
        <v>0</v>
      </c>
      <c r="C33" s="26">
        <f>+'[15]LIVREUR EXTERNE'!C$10</f>
        <v>775</v>
      </c>
      <c r="D33" s="26">
        <f>+'[15]LIVREUR EXTERNE'!D$10</f>
        <v>750</v>
      </c>
      <c r="E33" s="26">
        <f>+'[15]LIVREUR EXTERNE'!E$10</f>
        <v>31</v>
      </c>
      <c r="F33" s="26">
        <f>+'[15]LIVREUR EXTERNE'!F$10</f>
        <v>0</v>
      </c>
      <c r="G33" s="26">
        <f>+'[15]LIVREUR EXTERNE'!G$10</f>
        <v>0</v>
      </c>
      <c r="H33" s="26">
        <f>+'[15]LIVREUR EXTERNE'!H$10</f>
        <v>0</v>
      </c>
      <c r="I33" s="26">
        <f>+'[15]LIVREUR EXTERNE'!I$10</f>
        <v>0</v>
      </c>
      <c r="J33" s="26">
        <f>+'[15]LIVREUR EXTERNE'!J$10</f>
        <v>138085</v>
      </c>
      <c r="K33" s="26">
        <f>+'[15]LIVREUR EXTERNE'!N$10</f>
        <v>139100</v>
      </c>
      <c r="L33" s="24">
        <f t="shared" si="1"/>
        <v>-197895</v>
      </c>
    </row>
    <row r="34" spans="1:12" x14ac:dyDescent="0.25">
      <c r="A34" s="25">
        <v>46233</v>
      </c>
      <c r="B34" s="26">
        <f>+'[16]LIVREUR EXTERNE'!B$10</f>
        <v>0</v>
      </c>
      <c r="C34" s="26">
        <f>+'[16]LIVREUR EXTERNE'!C$10</f>
        <v>757</v>
      </c>
      <c r="D34" s="26">
        <f>+'[16]LIVREUR EXTERNE'!D$10</f>
        <v>747</v>
      </c>
      <c r="E34" s="26">
        <f>+'[16]LIVREUR EXTERNE'!E$10</f>
        <v>31</v>
      </c>
      <c r="F34" s="26">
        <f>+'[16]LIVREUR EXTERNE'!F$10</f>
        <v>0</v>
      </c>
      <c r="G34" s="26">
        <f>+'[16]LIVREUR EXTERNE'!G$10</f>
        <v>0</v>
      </c>
      <c r="H34" s="26">
        <f>+'[16]LIVREUR EXTERNE'!H$10</f>
        <v>0</v>
      </c>
      <c r="I34" s="26">
        <f>+'[16]LIVREUR EXTERNE'!I$10</f>
        <v>10</v>
      </c>
      <c r="J34" s="26">
        <f>+'[16]LIVREUR EXTERNE'!J$10</f>
        <v>137435</v>
      </c>
      <c r="K34" s="26">
        <f>+'[16]LIVREUR EXTERNE'!N$10</f>
        <v>136500</v>
      </c>
      <c r="L34" s="24">
        <f t="shared" si="1"/>
        <v>-196960</v>
      </c>
    </row>
    <row r="35" spans="1:12" x14ac:dyDescent="0.25">
      <c r="A35" s="25">
        <v>46234</v>
      </c>
      <c r="B35" s="26">
        <f>+'[17]LIVREUR EXTERNE'!B$10</f>
        <v>0</v>
      </c>
      <c r="C35" s="26">
        <f>+'[17]LIVREUR EXTERNE'!C$10</f>
        <v>660</v>
      </c>
      <c r="D35" s="26">
        <f>+'[17]LIVREUR EXTERNE'!D$10</f>
        <v>700</v>
      </c>
      <c r="E35" s="26">
        <f>+'[17]LIVREUR EXTERNE'!E$10</f>
        <v>28</v>
      </c>
      <c r="F35" s="26">
        <f>+'[17]LIVREUR EXTERNE'!F$10</f>
        <v>0</v>
      </c>
      <c r="G35" s="26">
        <f>+'[17]LIVREUR EXTERNE'!G$10</f>
        <v>0</v>
      </c>
      <c r="H35" s="26">
        <f>+'[17]LIVREUR EXTERNE'!H$10</f>
        <v>0</v>
      </c>
      <c r="I35" s="26">
        <f>+'[17]LIVREUR EXTERNE'!I$10</f>
        <v>0</v>
      </c>
      <c r="J35" s="26">
        <f>+'[17]LIVREUR EXTERNE'!J$10</f>
        <v>123980</v>
      </c>
      <c r="K35" s="26">
        <f>+'[17]LIVREUR EXTERNE'!N$10</f>
        <v>122500</v>
      </c>
      <c r="L35" s="24">
        <f t="shared" si="1"/>
        <v>-195480</v>
      </c>
    </row>
    <row r="36" spans="1:12" x14ac:dyDescent="0.25">
      <c r="A36" s="27" t="s">
        <v>13</v>
      </c>
      <c r="B36" s="28">
        <f>+SUM(B4:B35)</f>
        <v>0</v>
      </c>
      <c r="C36" s="28">
        <f t="shared" ref="C36:K36" si="2">+SUM(C4:C35)</f>
        <v>21646</v>
      </c>
      <c r="D36" s="28">
        <f t="shared" si="2"/>
        <v>19587</v>
      </c>
      <c r="E36" s="28">
        <f t="shared" si="2"/>
        <v>869</v>
      </c>
      <c r="F36" s="28">
        <f t="shared" si="2"/>
        <v>0</v>
      </c>
      <c r="G36" s="28">
        <f t="shared" si="2"/>
        <v>0</v>
      </c>
      <c r="H36" s="28">
        <f t="shared" si="2"/>
        <v>0</v>
      </c>
      <c r="I36" s="28">
        <f t="shared" si="2"/>
        <v>65</v>
      </c>
      <c r="J36" s="28">
        <f t="shared" si="2"/>
        <v>3728290</v>
      </c>
      <c r="K36" s="28">
        <f t="shared" si="2"/>
        <v>3713800</v>
      </c>
      <c r="L36" s="28">
        <f>+K36-J36+L4</f>
        <v>-224460</v>
      </c>
    </row>
  </sheetData>
  <mergeCells count="6">
    <mergeCell ref="L2:L3"/>
    <mergeCell ref="A1:I1"/>
    <mergeCell ref="A2:A3"/>
    <mergeCell ref="B2:G2"/>
    <mergeCell ref="J2:J3"/>
    <mergeCell ref="K2:K3"/>
  </mergeCells>
  <pageMargins left="0.2" right="0" top="0.21" bottom="0.2" header="0.2" footer="0.2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6"/>
  <sheetViews>
    <sheetView topLeftCell="A3" workbookViewId="0">
      <selection activeCell="K19" sqref="K19"/>
    </sheetView>
  </sheetViews>
  <sheetFormatPr baseColWidth="10" defaultRowHeight="15" x14ac:dyDescent="0.25"/>
  <cols>
    <col min="1" max="1" width="10.85546875" bestFit="1" customWidth="1"/>
    <col min="2" max="9" width="7.28515625" customWidth="1"/>
    <col min="10" max="10" width="10" bestFit="1" customWidth="1"/>
    <col min="11" max="11" width="10.7109375" bestFit="1" customWidth="1"/>
    <col min="12" max="12" width="10.42578125" customWidth="1"/>
  </cols>
  <sheetData>
    <row r="1" spans="1:12" x14ac:dyDescent="0.25">
      <c r="A1" s="18" t="s">
        <v>11</v>
      </c>
      <c r="B1" s="18"/>
      <c r="C1" s="18"/>
      <c r="D1" s="18"/>
      <c r="E1" s="18"/>
      <c r="F1" s="18"/>
      <c r="G1" s="18"/>
      <c r="H1" s="18"/>
      <c r="I1" s="18"/>
      <c r="J1" s="11" t="s">
        <v>20</v>
      </c>
      <c r="K1" s="9"/>
      <c r="L1" s="10">
        <v>46204</v>
      </c>
    </row>
    <row r="2" spans="1:12" x14ac:dyDescent="0.25">
      <c r="A2" s="19" t="s">
        <v>10</v>
      </c>
      <c r="B2" s="21" t="s">
        <v>0</v>
      </c>
      <c r="C2" s="21"/>
      <c r="D2" s="21"/>
      <c r="E2" s="21"/>
      <c r="F2" s="21"/>
      <c r="G2" s="21"/>
      <c r="H2" s="1" t="s">
        <v>1</v>
      </c>
      <c r="I2" s="2" t="s">
        <v>2</v>
      </c>
      <c r="J2" s="21" t="s">
        <v>3</v>
      </c>
      <c r="K2" s="20" t="s">
        <v>8</v>
      </c>
      <c r="L2" s="20" t="s">
        <v>9</v>
      </c>
    </row>
    <row r="3" spans="1:12" ht="30" x14ac:dyDescent="0.25">
      <c r="A3" s="19"/>
      <c r="B3" s="1">
        <v>40</v>
      </c>
      <c r="C3" s="1">
        <v>75</v>
      </c>
      <c r="D3" s="1">
        <v>100</v>
      </c>
      <c r="E3" s="1" t="s">
        <v>4</v>
      </c>
      <c r="F3" s="1" t="s">
        <v>5</v>
      </c>
      <c r="G3" s="1" t="s">
        <v>6</v>
      </c>
      <c r="H3" s="1">
        <v>80</v>
      </c>
      <c r="I3" s="1">
        <v>100</v>
      </c>
      <c r="J3" s="21"/>
      <c r="K3" s="20"/>
      <c r="L3" s="20"/>
    </row>
    <row r="4" spans="1:12" x14ac:dyDescent="0.25">
      <c r="A4" s="6" t="s">
        <v>7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</row>
    <row r="5" spans="1:12" x14ac:dyDescent="0.25">
      <c r="A5" s="7">
        <v>46204</v>
      </c>
      <c r="B5" s="14"/>
      <c r="C5" s="14">
        <v>520</v>
      </c>
      <c r="D5" s="14">
        <v>625</v>
      </c>
      <c r="E5" s="14">
        <v>18</v>
      </c>
      <c r="F5" s="14"/>
      <c r="G5" s="12"/>
      <c r="H5" s="12"/>
      <c r="I5" s="12"/>
      <c r="J5" s="12">
        <f>+B5*40+C5*75+D5*100+E5*160+F5*160+H5*80+I5*100</f>
        <v>104380</v>
      </c>
      <c r="K5" s="17">
        <v>110000</v>
      </c>
      <c r="L5" s="2">
        <f>+J5+L4-K5</f>
        <v>-5620</v>
      </c>
    </row>
    <row r="6" spans="1:12" x14ac:dyDescent="0.25">
      <c r="A6" s="7">
        <v>46205</v>
      </c>
      <c r="B6" s="14"/>
      <c r="C6" s="14">
        <v>460</v>
      </c>
      <c r="D6" s="14">
        <v>580</v>
      </c>
      <c r="E6" s="14">
        <v>13</v>
      </c>
      <c r="F6" s="14">
        <v>5</v>
      </c>
      <c r="G6" s="12"/>
      <c r="H6" s="12"/>
      <c r="I6" s="12"/>
      <c r="J6" s="12">
        <f t="shared" ref="J6:J18" si="0">+B6*40+C6*75+D6*100+E6*160+F6*160+H6*80+I6*100</f>
        <v>95380</v>
      </c>
      <c r="K6" s="17"/>
      <c r="L6" s="2">
        <f t="shared" ref="L6:L35" si="1">+J6+L5-K6</f>
        <v>89760</v>
      </c>
    </row>
    <row r="7" spans="1:12" x14ac:dyDescent="0.25">
      <c r="A7" s="7">
        <v>46206</v>
      </c>
      <c r="B7" s="14"/>
      <c r="C7" s="14"/>
      <c r="D7" s="14"/>
      <c r="E7" s="14"/>
      <c r="F7" s="14"/>
      <c r="G7" s="12"/>
      <c r="H7" s="12"/>
      <c r="I7" s="12"/>
      <c r="J7" s="12">
        <f t="shared" si="0"/>
        <v>0</v>
      </c>
      <c r="K7" s="17"/>
      <c r="L7" s="2">
        <f t="shared" si="1"/>
        <v>89760</v>
      </c>
    </row>
    <row r="8" spans="1:12" x14ac:dyDescent="0.25">
      <c r="A8" s="7">
        <v>46207</v>
      </c>
      <c r="B8" s="14"/>
      <c r="C8" s="14"/>
      <c r="D8" s="14"/>
      <c r="E8" s="14"/>
      <c r="F8" s="14"/>
      <c r="G8" s="12"/>
      <c r="H8" s="12"/>
      <c r="I8" s="12"/>
      <c r="J8" s="12">
        <f t="shared" si="0"/>
        <v>0</v>
      </c>
      <c r="K8" s="17"/>
      <c r="L8" s="2">
        <f t="shared" si="1"/>
        <v>89760</v>
      </c>
    </row>
    <row r="9" spans="1:12" x14ac:dyDescent="0.25">
      <c r="A9" s="7">
        <v>46208</v>
      </c>
      <c r="B9" s="14"/>
      <c r="C9" s="14"/>
      <c r="D9" s="14"/>
      <c r="E9" s="14"/>
      <c r="F9" s="14"/>
      <c r="G9" s="12"/>
      <c r="H9" s="12"/>
      <c r="I9" s="12"/>
      <c r="J9" s="12">
        <f t="shared" si="0"/>
        <v>0</v>
      </c>
      <c r="K9" s="17">
        <v>180000</v>
      </c>
      <c r="L9" s="2">
        <f t="shared" si="1"/>
        <v>-90240</v>
      </c>
    </row>
    <row r="10" spans="1:12" x14ac:dyDescent="0.25">
      <c r="A10" s="7">
        <v>46209</v>
      </c>
      <c r="B10" s="14"/>
      <c r="C10" s="14">
        <v>455</v>
      </c>
      <c r="D10" s="14">
        <v>625</v>
      </c>
      <c r="E10" s="14">
        <v>18</v>
      </c>
      <c r="F10" s="14"/>
      <c r="G10" s="12"/>
      <c r="H10" s="12"/>
      <c r="I10" s="12"/>
      <c r="J10" s="12">
        <f t="shared" si="0"/>
        <v>99505</v>
      </c>
      <c r="K10" s="17"/>
      <c r="L10" s="2">
        <f t="shared" si="1"/>
        <v>9265</v>
      </c>
    </row>
    <row r="11" spans="1:12" x14ac:dyDescent="0.25">
      <c r="A11" s="7">
        <v>46210</v>
      </c>
      <c r="B11" s="14"/>
      <c r="C11" s="14">
        <v>450</v>
      </c>
      <c r="D11" s="14">
        <v>605</v>
      </c>
      <c r="E11" s="14">
        <v>18</v>
      </c>
      <c r="F11" s="14"/>
      <c r="G11" s="12"/>
      <c r="H11" s="12"/>
      <c r="I11" s="12"/>
      <c r="J11" s="12">
        <f t="shared" si="0"/>
        <v>97130</v>
      </c>
      <c r="K11" s="17">
        <v>99000</v>
      </c>
      <c r="L11" s="2">
        <f t="shared" si="1"/>
        <v>7395</v>
      </c>
    </row>
    <row r="12" spans="1:12" x14ac:dyDescent="0.25">
      <c r="A12" s="7">
        <v>46211</v>
      </c>
      <c r="B12" s="14"/>
      <c r="C12" s="14">
        <v>460</v>
      </c>
      <c r="D12" s="14">
        <v>655</v>
      </c>
      <c r="E12" s="14">
        <v>18</v>
      </c>
      <c r="F12" s="14"/>
      <c r="G12" s="12"/>
      <c r="H12" s="12"/>
      <c r="I12" s="12"/>
      <c r="J12" s="12">
        <f t="shared" si="0"/>
        <v>102880</v>
      </c>
      <c r="K12" s="17">
        <v>97200</v>
      </c>
      <c r="L12" s="2">
        <f t="shared" si="1"/>
        <v>13075</v>
      </c>
    </row>
    <row r="13" spans="1:12" x14ac:dyDescent="0.25">
      <c r="A13" s="7">
        <v>46212</v>
      </c>
      <c r="B13" s="14"/>
      <c r="C13" s="14">
        <v>410</v>
      </c>
      <c r="D13" s="14">
        <v>550</v>
      </c>
      <c r="E13" s="14">
        <v>13</v>
      </c>
      <c r="F13" s="14"/>
      <c r="G13" s="12"/>
      <c r="H13" s="12"/>
      <c r="I13" s="12"/>
      <c r="J13" s="12">
        <f t="shared" si="0"/>
        <v>87830</v>
      </c>
      <c r="K13" s="17">
        <v>103000</v>
      </c>
      <c r="L13" s="2">
        <f t="shared" si="1"/>
        <v>-2095</v>
      </c>
    </row>
    <row r="14" spans="1:12" x14ac:dyDescent="0.25">
      <c r="A14" s="7">
        <v>46213</v>
      </c>
      <c r="B14" s="14"/>
      <c r="C14" s="14">
        <v>415</v>
      </c>
      <c r="D14" s="14">
        <v>620</v>
      </c>
      <c r="E14" s="14">
        <v>18</v>
      </c>
      <c r="F14" s="14"/>
      <c r="G14" s="12"/>
      <c r="H14" s="12"/>
      <c r="I14" s="12"/>
      <c r="J14" s="12">
        <f t="shared" si="0"/>
        <v>96005</v>
      </c>
      <c r="K14" s="17">
        <v>90000</v>
      </c>
      <c r="L14" s="2">
        <f t="shared" si="1"/>
        <v>3910</v>
      </c>
    </row>
    <row r="15" spans="1:12" x14ac:dyDescent="0.25">
      <c r="A15" s="7">
        <v>46214</v>
      </c>
      <c r="B15" s="14"/>
      <c r="C15" s="14">
        <v>480</v>
      </c>
      <c r="D15" s="14">
        <v>600</v>
      </c>
      <c r="E15" s="14">
        <v>13</v>
      </c>
      <c r="F15" s="14"/>
      <c r="G15" s="12"/>
      <c r="H15" s="12"/>
      <c r="I15" s="12"/>
      <c r="J15" s="12">
        <f t="shared" si="0"/>
        <v>98080</v>
      </c>
      <c r="K15" s="17"/>
      <c r="L15" s="2">
        <f t="shared" si="1"/>
        <v>101990</v>
      </c>
    </row>
    <row r="16" spans="1:12" x14ac:dyDescent="0.25">
      <c r="A16" s="7">
        <v>46215</v>
      </c>
      <c r="B16" s="14"/>
      <c r="C16" s="14"/>
      <c r="D16" s="14"/>
      <c r="E16" s="14"/>
      <c r="F16" s="14"/>
      <c r="G16" s="12"/>
      <c r="H16" s="12"/>
      <c r="I16" s="12"/>
      <c r="J16" s="12">
        <f t="shared" si="0"/>
        <v>0</v>
      </c>
      <c r="K16" s="17"/>
      <c r="L16" s="2">
        <f t="shared" si="1"/>
        <v>101990</v>
      </c>
    </row>
    <row r="17" spans="1:12" x14ac:dyDescent="0.25">
      <c r="A17" s="7">
        <v>46216</v>
      </c>
      <c r="B17" s="14"/>
      <c r="C17" s="14">
        <v>490</v>
      </c>
      <c r="D17" s="14">
        <v>700</v>
      </c>
      <c r="E17" s="14">
        <v>18</v>
      </c>
      <c r="F17" s="14"/>
      <c r="G17" s="12"/>
      <c r="H17" s="12"/>
      <c r="I17" s="12"/>
      <c r="J17" s="12">
        <f t="shared" si="0"/>
        <v>109630</v>
      </c>
      <c r="K17" s="17"/>
      <c r="L17" s="2">
        <f t="shared" si="1"/>
        <v>211620</v>
      </c>
    </row>
    <row r="18" spans="1:12" x14ac:dyDescent="0.25">
      <c r="A18" s="7">
        <v>46217</v>
      </c>
      <c r="B18" s="12"/>
      <c r="C18" s="12">
        <v>535</v>
      </c>
      <c r="D18" s="12">
        <v>675</v>
      </c>
      <c r="E18" s="12">
        <v>18</v>
      </c>
      <c r="F18" s="12"/>
      <c r="G18" s="12"/>
      <c r="H18" s="12"/>
      <c r="I18" s="12"/>
      <c r="J18" s="12">
        <f t="shared" si="0"/>
        <v>110505</v>
      </c>
      <c r="K18" s="5">
        <v>300000</v>
      </c>
      <c r="L18" s="2">
        <f t="shared" si="1"/>
        <v>22125</v>
      </c>
    </row>
    <row r="19" spans="1:12" x14ac:dyDescent="0.25">
      <c r="A19" s="7">
        <v>46218</v>
      </c>
      <c r="B19" s="12">
        <f>+'[1]LIVREUR EXTERNE'!B$11</f>
        <v>0</v>
      </c>
      <c r="C19" s="12">
        <f>+'[1]LIVREUR EXTERNE'!C$11</f>
        <v>530</v>
      </c>
      <c r="D19" s="12">
        <f>+'[1]LIVREUR EXTERNE'!D$11</f>
        <v>665</v>
      </c>
      <c r="E19" s="12">
        <f>+'[1]LIVREUR EXTERNE'!E$11</f>
        <v>19</v>
      </c>
      <c r="F19" s="12">
        <f>+'[1]LIVREUR EXTERNE'!F$11</f>
        <v>0</v>
      </c>
      <c r="G19" s="12">
        <f>+'[1]LIVREUR EXTERNE'!G$11</f>
        <v>0</v>
      </c>
      <c r="H19" s="12">
        <f>+'[1]LIVREUR EXTERNE'!H$11</f>
        <v>0</v>
      </c>
      <c r="I19" s="12">
        <f>+'[1]LIVREUR EXTERNE'!I$11</f>
        <v>0</v>
      </c>
      <c r="J19" s="12">
        <f>+'[1]LIVREUR EXTERNE'!J$11</f>
        <v>109290</v>
      </c>
      <c r="K19" s="5">
        <f>+'[1]LIVREUR EXTERNE'!N$11</f>
        <v>106500</v>
      </c>
      <c r="L19" s="2">
        <f t="shared" si="1"/>
        <v>24915</v>
      </c>
    </row>
    <row r="20" spans="1:12" x14ac:dyDescent="0.25">
      <c r="A20" s="7">
        <v>46219</v>
      </c>
      <c r="B20" s="12">
        <f>+'[2]LIVREUR EXTERNE'!B$11</f>
        <v>0</v>
      </c>
      <c r="C20" s="12">
        <f>+'[2]LIVREUR EXTERNE'!C$11</f>
        <v>490</v>
      </c>
      <c r="D20" s="12">
        <f>+'[2]LIVREUR EXTERNE'!D$11</f>
        <v>640</v>
      </c>
      <c r="E20" s="12">
        <f>+'[2]LIVREUR EXTERNE'!E$11</f>
        <v>13</v>
      </c>
      <c r="F20" s="12">
        <f>+'[2]LIVREUR EXTERNE'!F$11</f>
        <v>0</v>
      </c>
      <c r="G20" s="12">
        <f>+'[2]LIVREUR EXTERNE'!G$11</f>
        <v>0</v>
      </c>
      <c r="H20" s="12">
        <f>+'[2]LIVREUR EXTERNE'!H$11</f>
        <v>0</v>
      </c>
      <c r="I20" s="12">
        <f>+'[2]LIVREUR EXTERNE'!I$11</f>
        <v>0</v>
      </c>
      <c r="J20" s="12">
        <f>+'[2]LIVREUR EXTERNE'!J$11</f>
        <v>102830</v>
      </c>
      <c r="K20" s="5">
        <f>+'[2]LIVREUR EXTERNE'!N$11</f>
        <v>113000</v>
      </c>
      <c r="L20" s="2">
        <f t="shared" si="1"/>
        <v>14745</v>
      </c>
    </row>
    <row r="21" spans="1:12" x14ac:dyDescent="0.25">
      <c r="A21" s="7">
        <v>46220</v>
      </c>
      <c r="B21" s="12">
        <f>+'[3]LIVREUR EXTERNE'!B$11</f>
        <v>0</v>
      </c>
      <c r="C21" s="12">
        <f>+'[3]LIVREUR EXTERNE'!C$11</f>
        <v>415</v>
      </c>
      <c r="D21" s="12">
        <f>+'[3]LIVREUR EXTERNE'!D$11</f>
        <v>600</v>
      </c>
      <c r="E21" s="12">
        <f>+'[3]LIVREUR EXTERNE'!E$11</f>
        <v>18</v>
      </c>
      <c r="F21" s="12">
        <f>+'[3]LIVREUR EXTERNE'!F$11</f>
        <v>0</v>
      </c>
      <c r="G21" s="12">
        <f>+'[3]LIVREUR EXTERNE'!G$11</f>
        <v>0</v>
      </c>
      <c r="H21" s="12">
        <f>+'[3]LIVREUR EXTERNE'!H$11</f>
        <v>0</v>
      </c>
      <c r="I21" s="12">
        <f>+'[3]LIVREUR EXTERNE'!I$11</f>
        <v>0</v>
      </c>
      <c r="J21" s="12">
        <f>+'[3]LIVREUR EXTERNE'!J$11</f>
        <v>94005</v>
      </c>
      <c r="K21" s="5">
        <f>+'[3]LIVREUR EXTERNE'!N$11</f>
        <v>103000</v>
      </c>
      <c r="L21" s="2">
        <f t="shared" si="1"/>
        <v>5750</v>
      </c>
    </row>
    <row r="22" spans="1:12" x14ac:dyDescent="0.25">
      <c r="A22" s="7">
        <v>46221</v>
      </c>
      <c r="B22" s="12">
        <f>+'[4]LIVREUR EXTERNE'!B$11</f>
        <v>0</v>
      </c>
      <c r="C22" s="12">
        <f>+'[4]LIVREUR EXTERNE'!C$11</f>
        <v>595</v>
      </c>
      <c r="D22" s="12">
        <f>+'[4]LIVREUR EXTERNE'!D$11</f>
        <v>905</v>
      </c>
      <c r="E22" s="12">
        <f>+'[4]LIVREUR EXTERNE'!E$11</f>
        <v>18</v>
      </c>
      <c r="F22" s="12">
        <f>+'[4]LIVREUR EXTERNE'!F$11</f>
        <v>0</v>
      </c>
      <c r="G22" s="12">
        <f>+'[4]LIVREUR EXTERNE'!G$11</f>
        <v>0</v>
      </c>
      <c r="H22" s="12">
        <f>+'[4]LIVREUR EXTERNE'!H$11</f>
        <v>0</v>
      </c>
      <c r="I22" s="12">
        <f>+'[4]LIVREUR EXTERNE'!I$11</f>
        <v>0</v>
      </c>
      <c r="J22" s="12">
        <f>+'[4]LIVREUR EXTERNE'!J$11</f>
        <v>138005</v>
      </c>
      <c r="K22" s="5">
        <f>+'[4]LIVREUR EXTERNE'!N$11</f>
        <v>0</v>
      </c>
      <c r="L22" s="2">
        <f t="shared" si="1"/>
        <v>143755</v>
      </c>
    </row>
    <row r="23" spans="1:12" x14ac:dyDescent="0.25">
      <c r="A23" s="7">
        <v>46222</v>
      </c>
      <c r="B23" s="12">
        <f>+'[5]LIVREUR EXTERNE'!B$11</f>
        <v>0</v>
      </c>
      <c r="C23" s="12">
        <f>+'[5]LIVREUR EXTERNE'!C$11</f>
        <v>560</v>
      </c>
      <c r="D23" s="12">
        <f>+'[5]LIVREUR EXTERNE'!D$11</f>
        <v>785</v>
      </c>
      <c r="E23" s="12">
        <f>+'[5]LIVREUR EXTERNE'!E$11</f>
        <v>5</v>
      </c>
      <c r="F23" s="12">
        <f>+'[5]LIVREUR EXTERNE'!F$11</f>
        <v>0</v>
      </c>
      <c r="G23" s="12">
        <f>+'[5]LIVREUR EXTERNE'!G$11</f>
        <v>0</v>
      </c>
      <c r="H23" s="12">
        <f>+'[5]LIVREUR EXTERNE'!H$11</f>
        <v>0</v>
      </c>
      <c r="I23" s="12">
        <f>+'[5]LIVREUR EXTERNE'!I$11</f>
        <v>0</v>
      </c>
      <c r="J23" s="12">
        <f>+'[5]LIVREUR EXTERNE'!J$11</f>
        <v>121300</v>
      </c>
      <c r="K23" s="5">
        <f>+'[5]LIVREUR EXTERNE'!N$11</f>
        <v>0</v>
      </c>
      <c r="L23" s="2">
        <f t="shared" si="1"/>
        <v>265055</v>
      </c>
    </row>
    <row r="24" spans="1:12" x14ac:dyDescent="0.25">
      <c r="A24" s="7">
        <v>46223</v>
      </c>
      <c r="B24" s="12">
        <f>+'[6]LIVREUR EXTERNE'!B$11</f>
        <v>0</v>
      </c>
      <c r="C24" s="12">
        <f>+'[6]LIVREUR EXTERNE'!C$11</f>
        <v>500</v>
      </c>
      <c r="D24" s="12">
        <f>+'[6]LIVREUR EXTERNE'!D$11</f>
        <v>650</v>
      </c>
      <c r="E24" s="12">
        <f>+'[6]LIVREUR EXTERNE'!E$11</f>
        <v>18</v>
      </c>
      <c r="F24" s="12">
        <f>+'[6]LIVREUR EXTERNE'!F$11</f>
        <v>0</v>
      </c>
      <c r="G24" s="12">
        <f>+'[6]LIVREUR EXTERNE'!G$11</f>
        <v>0</v>
      </c>
      <c r="H24" s="12">
        <f>+'[6]LIVREUR EXTERNE'!H$11</f>
        <v>0</v>
      </c>
      <c r="I24" s="12">
        <f>+'[6]LIVREUR EXTERNE'!I$11</f>
        <v>0</v>
      </c>
      <c r="J24" s="12">
        <f>+'[6]LIVREUR EXTERNE'!J$11</f>
        <v>105380</v>
      </c>
      <c r="K24" s="5">
        <f>+'[6]LIVREUR EXTERNE'!N$11</f>
        <v>0</v>
      </c>
      <c r="L24" s="2">
        <f t="shared" si="1"/>
        <v>370435</v>
      </c>
    </row>
    <row r="25" spans="1:12" x14ac:dyDescent="0.25">
      <c r="A25" s="7">
        <v>46224</v>
      </c>
      <c r="B25" s="12">
        <f>+'[7]LIVREUR EXTERNE'!B$11</f>
        <v>0</v>
      </c>
      <c r="C25" s="12">
        <f>+'[7]LIVREUR EXTERNE'!C$11</f>
        <v>510</v>
      </c>
      <c r="D25" s="12">
        <f>+'[7]LIVREUR EXTERNE'!D$11</f>
        <v>650</v>
      </c>
      <c r="E25" s="12">
        <f>+'[7]LIVREUR EXTERNE'!E$11</f>
        <v>18</v>
      </c>
      <c r="F25" s="12">
        <f>+'[7]LIVREUR EXTERNE'!F$11</f>
        <v>0</v>
      </c>
      <c r="G25" s="12">
        <f>+'[7]LIVREUR EXTERNE'!G$11</f>
        <v>0</v>
      </c>
      <c r="H25" s="12">
        <f>+'[7]LIVREUR EXTERNE'!H$11</f>
        <v>0</v>
      </c>
      <c r="I25" s="12">
        <f>+'[7]LIVREUR EXTERNE'!I$11</f>
        <v>0</v>
      </c>
      <c r="J25" s="12">
        <f>+'[7]LIVREUR EXTERNE'!J$11</f>
        <v>106130</v>
      </c>
      <c r="K25" s="5">
        <f>+'[7]LIVREUR EXTERNE'!N$11</f>
        <v>438000</v>
      </c>
      <c r="L25" s="2">
        <f t="shared" si="1"/>
        <v>38565</v>
      </c>
    </row>
    <row r="26" spans="1:12" x14ac:dyDescent="0.25">
      <c r="A26" s="7">
        <v>46225</v>
      </c>
      <c r="B26" s="12">
        <f>+'[8]LIVREUR EXTERNE'!B$11</f>
        <v>0</v>
      </c>
      <c r="C26" s="12">
        <f>+'[8]LIVREUR EXTERNE'!C$11</f>
        <v>561</v>
      </c>
      <c r="D26" s="12">
        <f>+'[8]LIVREUR EXTERNE'!D$11</f>
        <v>620</v>
      </c>
      <c r="E26" s="12">
        <f>+'[8]LIVREUR EXTERNE'!E$11</f>
        <v>18</v>
      </c>
      <c r="F26" s="12">
        <f>+'[8]LIVREUR EXTERNE'!F$11</f>
        <v>0</v>
      </c>
      <c r="G26" s="12">
        <f>+'[8]LIVREUR EXTERNE'!G$11</f>
        <v>0</v>
      </c>
      <c r="H26" s="12">
        <f>+'[8]LIVREUR EXTERNE'!H$11</f>
        <v>0</v>
      </c>
      <c r="I26" s="12">
        <f>+'[8]LIVREUR EXTERNE'!I$11</f>
        <v>0</v>
      </c>
      <c r="J26" s="12">
        <f>+'[8]LIVREUR EXTERNE'!J$11</f>
        <v>106955</v>
      </c>
      <c r="K26" s="5">
        <f>+'[8]LIVREUR EXTERNE'!N$11</f>
        <v>104200</v>
      </c>
      <c r="L26" s="2">
        <f t="shared" si="1"/>
        <v>41320</v>
      </c>
    </row>
    <row r="27" spans="1:12" x14ac:dyDescent="0.25">
      <c r="A27" s="7">
        <v>46226</v>
      </c>
      <c r="B27" s="12">
        <f>+'[9]LIVREUR EXTERNE'!B$11</f>
        <v>0</v>
      </c>
      <c r="C27" s="12">
        <f>+'[9]LIVREUR EXTERNE'!C$11</f>
        <v>525</v>
      </c>
      <c r="D27" s="12">
        <f>+'[9]LIVREUR EXTERNE'!D$11</f>
        <v>565</v>
      </c>
      <c r="E27" s="12">
        <f>+'[9]LIVREUR EXTERNE'!E$11</f>
        <v>0</v>
      </c>
      <c r="F27" s="12">
        <f>+'[9]LIVREUR EXTERNE'!F$11</f>
        <v>0</v>
      </c>
      <c r="G27" s="12">
        <f>+'[9]LIVREUR EXTERNE'!G$11</f>
        <v>0</v>
      </c>
      <c r="H27" s="12">
        <f>+'[9]LIVREUR EXTERNE'!H$11</f>
        <v>0</v>
      </c>
      <c r="I27" s="12">
        <f>+'[9]LIVREUR EXTERNE'!I$11</f>
        <v>0</v>
      </c>
      <c r="J27" s="12">
        <f>+'[9]LIVREUR EXTERNE'!J$11</f>
        <v>95875</v>
      </c>
      <c r="K27" s="5">
        <f>+'[9]LIVREUR EXTERNE'!N$11</f>
        <v>0</v>
      </c>
      <c r="L27" s="2">
        <f t="shared" si="1"/>
        <v>137195</v>
      </c>
    </row>
    <row r="28" spans="1:12" x14ac:dyDescent="0.25">
      <c r="A28" s="7">
        <v>46227</v>
      </c>
      <c r="B28" s="12">
        <f>+'[10]LIVREUR EXTERNE'!B$11</f>
        <v>0</v>
      </c>
      <c r="C28" s="12">
        <f>+'[10]LIVREUR EXTERNE'!C$11</f>
        <v>475</v>
      </c>
      <c r="D28" s="12">
        <f>+'[10]LIVREUR EXTERNE'!D$11</f>
        <v>625</v>
      </c>
      <c r="E28" s="12">
        <f>+'[10]LIVREUR EXTERNE'!E$11</f>
        <v>13</v>
      </c>
      <c r="F28" s="12">
        <f>+'[10]LIVREUR EXTERNE'!F$11</f>
        <v>0</v>
      </c>
      <c r="G28" s="12">
        <f>+'[10]LIVREUR EXTERNE'!G$11</f>
        <v>0</v>
      </c>
      <c r="H28" s="12">
        <f>+'[10]LIVREUR EXTERNE'!H$11</f>
        <v>0</v>
      </c>
      <c r="I28" s="12">
        <f>+'[10]LIVREUR EXTERNE'!I$11</f>
        <v>0</v>
      </c>
      <c r="J28" s="12">
        <f>+'[10]LIVREUR EXTERNE'!J$11</f>
        <v>100205</v>
      </c>
      <c r="K28" s="5">
        <f>+'[10]LIVREUR EXTERNE'!N$11</f>
        <v>202000</v>
      </c>
      <c r="L28" s="2">
        <f t="shared" si="1"/>
        <v>35400</v>
      </c>
    </row>
    <row r="29" spans="1:12" x14ac:dyDescent="0.25">
      <c r="A29" s="7">
        <v>46228</v>
      </c>
      <c r="B29" s="12">
        <f>+'[11]LIVREUR EXTERNE'!B$11</f>
        <v>0</v>
      </c>
      <c r="C29" s="12">
        <f>+'[11]LIVREUR EXTERNE'!C$11</f>
        <v>520</v>
      </c>
      <c r="D29" s="12">
        <f>+'[11]LIVREUR EXTERNE'!D$11</f>
        <v>580</v>
      </c>
      <c r="E29" s="12">
        <f>+'[11]LIVREUR EXTERNE'!E$11</f>
        <v>13</v>
      </c>
      <c r="F29" s="12">
        <f>+'[11]LIVREUR EXTERNE'!F$11</f>
        <v>0</v>
      </c>
      <c r="G29" s="12">
        <f>+'[11]LIVREUR EXTERNE'!G$11</f>
        <v>0</v>
      </c>
      <c r="H29" s="12">
        <f>+'[11]LIVREUR EXTERNE'!H$11</f>
        <v>0</v>
      </c>
      <c r="I29" s="12">
        <f>+'[11]LIVREUR EXTERNE'!I$11</f>
        <v>0</v>
      </c>
      <c r="J29" s="12">
        <f>+'[11]LIVREUR EXTERNE'!J$11</f>
        <v>99080</v>
      </c>
      <c r="K29" s="5">
        <f>+'[11]LIVREUR EXTERNE'!N$11</f>
        <v>0</v>
      </c>
      <c r="L29" s="2">
        <f t="shared" si="1"/>
        <v>134480</v>
      </c>
    </row>
    <row r="30" spans="1:12" x14ac:dyDescent="0.25">
      <c r="A30" s="7">
        <v>46229</v>
      </c>
      <c r="B30" s="12">
        <f>+'[12]LIVREUR EXTERNE'!B$11</f>
        <v>0</v>
      </c>
      <c r="C30" s="12">
        <f>+'[12]LIVREUR EXTERNE'!C$11</f>
        <v>465</v>
      </c>
      <c r="D30" s="12">
        <f>+'[12]LIVREUR EXTERNE'!D$11</f>
        <v>575</v>
      </c>
      <c r="E30" s="12">
        <f>+'[12]LIVREUR EXTERNE'!E$11</f>
        <v>13</v>
      </c>
      <c r="F30" s="12">
        <f>+'[12]LIVREUR EXTERNE'!F$11</f>
        <v>0</v>
      </c>
      <c r="G30" s="12">
        <f>+'[12]LIVREUR EXTERNE'!G$11</f>
        <v>0</v>
      </c>
      <c r="H30" s="12">
        <f>+'[12]LIVREUR EXTERNE'!H$11</f>
        <v>0</v>
      </c>
      <c r="I30" s="12">
        <f>+'[12]LIVREUR EXTERNE'!I$11</f>
        <v>0</v>
      </c>
      <c r="J30" s="12">
        <f>+'[12]LIVREUR EXTERNE'!J$11</f>
        <v>94455</v>
      </c>
      <c r="K30" s="5">
        <f>+'[12]LIVREUR EXTERNE'!N$11</f>
        <v>0</v>
      </c>
      <c r="L30" s="2">
        <f t="shared" si="1"/>
        <v>228935</v>
      </c>
    </row>
    <row r="31" spans="1:12" x14ac:dyDescent="0.25">
      <c r="A31" s="7">
        <v>46230</v>
      </c>
      <c r="B31" s="12">
        <f>+'[13]LIVREUR EXTERNE'!B$11</f>
        <v>0</v>
      </c>
      <c r="C31" s="12">
        <f>+'[13]LIVREUR EXTERNE'!C$11</f>
        <v>500</v>
      </c>
      <c r="D31" s="12">
        <f>+'[13]LIVREUR EXTERNE'!D$11</f>
        <v>635</v>
      </c>
      <c r="E31" s="12">
        <f>+'[13]LIVREUR EXTERNE'!E$11</f>
        <v>5</v>
      </c>
      <c r="F31" s="12">
        <f>+'[13]LIVREUR EXTERNE'!F$11</f>
        <v>0</v>
      </c>
      <c r="G31" s="12">
        <f>+'[13]LIVREUR EXTERNE'!F$11</f>
        <v>0</v>
      </c>
      <c r="H31" s="12">
        <f>+'[13]LIVREUR EXTERNE'!G$11</f>
        <v>0</v>
      </c>
      <c r="I31" s="12">
        <f>+'[13]LIVREUR EXTERNE'!H$11</f>
        <v>0</v>
      </c>
      <c r="J31" s="12">
        <f>+'[13]LIVREUR EXTERNE'!J$11</f>
        <v>101800</v>
      </c>
      <c r="K31" s="5">
        <f>+'[13]LIVREUR EXTERNE'!N$11</f>
        <v>0</v>
      </c>
      <c r="L31" s="2">
        <f t="shared" si="1"/>
        <v>330735</v>
      </c>
    </row>
    <row r="32" spans="1:12" x14ac:dyDescent="0.25">
      <c r="A32" s="7">
        <v>46231</v>
      </c>
      <c r="B32" s="12">
        <f>+'[14]LIVREUR EXTERNE'!B$11</f>
        <v>0</v>
      </c>
      <c r="C32" s="12">
        <f>+'[14]LIVREUR EXTERNE'!C$11</f>
        <v>575</v>
      </c>
      <c r="D32" s="12">
        <f>+'[14]LIVREUR EXTERNE'!D$11</f>
        <v>650</v>
      </c>
      <c r="E32" s="12">
        <f>+'[14]LIVREUR EXTERNE'!E$11</f>
        <v>18</v>
      </c>
      <c r="F32" s="12">
        <f>+'[14]LIVREUR EXTERNE'!F$11</f>
        <v>0</v>
      </c>
      <c r="G32" s="12">
        <f>+'[14]LIVREUR EXTERNE'!G$11</f>
        <v>0</v>
      </c>
      <c r="H32" s="12">
        <f>+'[14]LIVREUR EXTERNE'!H$11</f>
        <v>0</v>
      </c>
      <c r="I32" s="12">
        <f>+'[14]LIVREUR EXTERNE'!I$11</f>
        <v>0</v>
      </c>
      <c r="J32" s="12">
        <f>+'[14]LIVREUR EXTERNE'!J$11</f>
        <v>111005</v>
      </c>
      <c r="K32" s="5">
        <f>+'[14]LIVREUR EXTERNE'!N$11</f>
        <v>391500</v>
      </c>
      <c r="L32" s="2">
        <f t="shared" si="1"/>
        <v>50240</v>
      </c>
    </row>
    <row r="33" spans="1:12" x14ac:dyDescent="0.25">
      <c r="A33" s="7">
        <v>46232</v>
      </c>
      <c r="B33" s="12">
        <f>+'[15]LIVREUR EXTERNE'!B$11</f>
        <v>0</v>
      </c>
      <c r="C33" s="12">
        <f>+'[15]LIVREUR EXTERNE'!C$11</f>
        <v>600</v>
      </c>
      <c r="D33" s="12">
        <f>+'[15]LIVREUR EXTERNE'!D$11</f>
        <v>650</v>
      </c>
      <c r="E33" s="12">
        <f>+'[15]LIVREUR EXTERNE'!E$11</f>
        <v>18</v>
      </c>
      <c r="F33" s="12">
        <f>+'[15]LIVREUR EXTERNE'!F$11</f>
        <v>0</v>
      </c>
      <c r="G33" s="12">
        <f>+'[15]LIVREUR EXTERNE'!G$11</f>
        <v>0</v>
      </c>
      <c r="H33" s="12">
        <f>+'[15]LIVREUR EXTERNE'!H$11</f>
        <v>0</v>
      </c>
      <c r="I33" s="12">
        <f>+'[15]LIVREUR EXTERNE'!I$11</f>
        <v>0</v>
      </c>
      <c r="J33" s="12">
        <f>+'[15]LIVREUR EXTERNE'!J$11</f>
        <v>112880</v>
      </c>
      <c r="K33" s="5">
        <f>+'[15]LIVREUR EXTERNE'!N$11</f>
        <v>114000</v>
      </c>
      <c r="L33" s="2">
        <f t="shared" si="1"/>
        <v>49120</v>
      </c>
    </row>
    <row r="34" spans="1:12" x14ac:dyDescent="0.25">
      <c r="A34" s="7">
        <v>46233</v>
      </c>
      <c r="B34" s="12">
        <f>+'[16]LIVREUR EXTERNE'!B$11</f>
        <v>0</v>
      </c>
      <c r="C34" s="12">
        <f>+'[16]LIVREUR EXTERNE'!C$11</f>
        <v>535</v>
      </c>
      <c r="D34" s="12">
        <f>+'[16]LIVREUR EXTERNE'!D$11</f>
        <v>600</v>
      </c>
      <c r="E34" s="12">
        <f>+'[16]LIVREUR EXTERNE'!E$11</f>
        <v>13</v>
      </c>
      <c r="F34" s="12">
        <f>+'[16]LIVREUR EXTERNE'!F$11</f>
        <v>0</v>
      </c>
      <c r="G34" s="12">
        <f>+'[16]LIVREUR EXTERNE'!G$11</f>
        <v>0</v>
      </c>
      <c r="H34" s="12">
        <f>+'[16]LIVREUR EXTERNE'!H$11</f>
        <v>0</v>
      </c>
      <c r="I34" s="12">
        <f>+'[16]LIVREUR EXTERNE'!I$11</f>
        <v>0</v>
      </c>
      <c r="J34" s="12">
        <f>+'[16]LIVREUR EXTERNE'!J$11</f>
        <v>102205</v>
      </c>
      <c r="K34" s="5">
        <f>+'[16]LIVREUR EXTERNE'!N$11</f>
        <v>0</v>
      </c>
      <c r="L34" s="2">
        <f t="shared" si="1"/>
        <v>151325</v>
      </c>
    </row>
    <row r="35" spans="1:12" x14ac:dyDescent="0.25">
      <c r="A35" s="7">
        <v>46234</v>
      </c>
      <c r="B35" s="12">
        <f>+'[17]LIVREUR EXTERNE'!B$11</f>
        <v>0</v>
      </c>
      <c r="C35" s="12">
        <f>+'[17]LIVREUR EXTERNE'!C$11</f>
        <v>480</v>
      </c>
      <c r="D35" s="12">
        <f>+'[17]LIVREUR EXTERNE'!D$11</f>
        <v>640</v>
      </c>
      <c r="E35" s="12">
        <f>+'[17]LIVREUR EXTERNE'!E$11</f>
        <v>18</v>
      </c>
      <c r="F35" s="12">
        <f>+'[17]LIVREUR EXTERNE'!F$11</f>
        <v>0</v>
      </c>
      <c r="G35" s="12">
        <f>+'[17]LIVREUR EXTERNE'!G$11</f>
        <v>0</v>
      </c>
      <c r="H35" s="12">
        <f>+'[17]LIVREUR EXTERNE'!H$11</f>
        <v>0</v>
      </c>
      <c r="I35" s="12">
        <f>+'[17]LIVREUR EXTERNE'!I$11</f>
        <v>0</v>
      </c>
      <c r="J35" s="12">
        <f>+'[17]LIVREUR EXTERNE'!J$11</f>
        <v>102880</v>
      </c>
      <c r="K35" s="5">
        <f>+'[17]LIVREUR EXTERNE'!N$11</f>
        <v>216500</v>
      </c>
      <c r="L35" s="2">
        <f t="shared" si="1"/>
        <v>37705</v>
      </c>
    </row>
    <row r="36" spans="1:12" x14ac:dyDescent="0.25">
      <c r="A36" s="8" t="s">
        <v>13</v>
      </c>
      <c r="B36" s="11">
        <f>+SUM(B4:B35)</f>
        <v>0</v>
      </c>
      <c r="C36" s="11">
        <f t="shared" ref="C36:K36" si="2">+SUM(C4:C35)</f>
        <v>13511</v>
      </c>
      <c r="D36" s="11">
        <f t="shared" si="2"/>
        <v>17270</v>
      </c>
      <c r="E36" s="11">
        <f t="shared" si="2"/>
        <v>403</v>
      </c>
      <c r="F36" s="11">
        <f t="shared" si="2"/>
        <v>5</v>
      </c>
      <c r="G36" s="11">
        <f t="shared" si="2"/>
        <v>0</v>
      </c>
      <c r="H36" s="11">
        <f t="shared" si="2"/>
        <v>0</v>
      </c>
      <c r="I36" s="11">
        <f t="shared" si="2"/>
        <v>0</v>
      </c>
      <c r="J36" s="11">
        <f t="shared" si="2"/>
        <v>2805605</v>
      </c>
      <c r="K36" s="9">
        <f t="shared" si="2"/>
        <v>2767900</v>
      </c>
      <c r="L36" s="9">
        <f>+K36-J36</f>
        <v>-37705</v>
      </c>
    </row>
  </sheetData>
  <mergeCells count="6">
    <mergeCell ref="L2:L3"/>
    <mergeCell ref="A1:I1"/>
    <mergeCell ref="A2:A3"/>
    <mergeCell ref="B2:G2"/>
    <mergeCell ref="J2:J3"/>
    <mergeCell ref="K2:K3"/>
  </mergeCells>
  <pageMargins left="1.53" right="0" top="0.7" bottom="0" header="0.31496062992125984" footer="0.31496062992125984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6"/>
  <sheetViews>
    <sheetView workbookViewId="0">
      <selection activeCell="J28" sqref="J28"/>
    </sheetView>
  </sheetViews>
  <sheetFormatPr baseColWidth="10" defaultRowHeight="15" x14ac:dyDescent="0.25"/>
  <cols>
    <col min="1" max="1" width="10.85546875" bestFit="1" customWidth="1"/>
    <col min="2" max="9" width="7.28515625" customWidth="1"/>
    <col min="10" max="10" width="10" bestFit="1" customWidth="1"/>
    <col min="11" max="11" width="10.7109375" bestFit="1" customWidth="1"/>
    <col min="12" max="12" width="8.85546875" bestFit="1" customWidth="1"/>
  </cols>
  <sheetData>
    <row r="1" spans="1:12" x14ac:dyDescent="0.25">
      <c r="A1" s="18" t="s">
        <v>11</v>
      </c>
      <c r="B1" s="18"/>
      <c r="C1" s="18"/>
      <c r="D1" s="18"/>
      <c r="E1" s="18"/>
      <c r="F1" s="18"/>
      <c r="G1" s="18"/>
      <c r="H1" s="18"/>
      <c r="I1" s="18"/>
      <c r="J1" s="11" t="s">
        <v>20</v>
      </c>
      <c r="K1" s="9"/>
      <c r="L1" s="10">
        <v>46204</v>
      </c>
    </row>
    <row r="2" spans="1:12" x14ac:dyDescent="0.25">
      <c r="A2" s="19" t="s">
        <v>10</v>
      </c>
      <c r="B2" s="21" t="s">
        <v>0</v>
      </c>
      <c r="C2" s="21"/>
      <c r="D2" s="21"/>
      <c r="E2" s="21"/>
      <c r="F2" s="21"/>
      <c r="G2" s="21"/>
      <c r="H2" s="1" t="s">
        <v>1</v>
      </c>
      <c r="I2" s="2" t="s">
        <v>2</v>
      </c>
      <c r="J2" s="21" t="s">
        <v>3</v>
      </c>
      <c r="K2" s="20" t="s">
        <v>8</v>
      </c>
      <c r="L2" s="20" t="s">
        <v>9</v>
      </c>
    </row>
    <row r="3" spans="1:12" ht="30" x14ac:dyDescent="0.25">
      <c r="A3" s="19"/>
      <c r="B3" s="1">
        <v>40</v>
      </c>
      <c r="C3" s="1">
        <v>75</v>
      </c>
      <c r="D3" s="1">
        <v>100</v>
      </c>
      <c r="E3" s="1" t="s">
        <v>4</v>
      </c>
      <c r="F3" s="1" t="s">
        <v>5</v>
      </c>
      <c r="G3" s="1" t="s">
        <v>6</v>
      </c>
      <c r="H3" s="1">
        <v>80</v>
      </c>
      <c r="I3" s="1">
        <v>100</v>
      </c>
      <c r="J3" s="21"/>
      <c r="K3" s="20"/>
      <c r="L3" s="20"/>
    </row>
    <row r="4" spans="1:12" x14ac:dyDescent="0.25">
      <c r="A4" s="6" t="s">
        <v>7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</row>
    <row r="5" spans="1:12" x14ac:dyDescent="0.25">
      <c r="A5" s="7">
        <v>46204</v>
      </c>
      <c r="B5" s="12"/>
      <c r="C5" s="12"/>
      <c r="D5" s="12"/>
      <c r="E5" s="12"/>
      <c r="F5" s="12"/>
      <c r="G5" s="12"/>
      <c r="H5" s="12"/>
      <c r="I5" s="12"/>
      <c r="J5" s="12"/>
      <c r="K5" s="5"/>
      <c r="L5" s="2">
        <f>+J5+L4-K5</f>
        <v>0</v>
      </c>
    </row>
    <row r="6" spans="1:12" x14ac:dyDescent="0.25">
      <c r="A6" s="7">
        <v>46205</v>
      </c>
      <c r="B6" s="12"/>
      <c r="C6" s="12"/>
      <c r="D6" s="12"/>
      <c r="E6" s="12"/>
      <c r="F6" s="12"/>
      <c r="G6" s="12"/>
      <c r="H6" s="12"/>
      <c r="I6" s="12"/>
      <c r="J6" s="12"/>
      <c r="K6" s="5"/>
      <c r="L6" s="2">
        <f t="shared" ref="L6:L35" si="0">+J6+L5-K6</f>
        <v>0</v>
      </c>
    </row>
    <row r="7" spans="1:12" x14ac:dyDescent="0.25">
      <c r="A7" s="7">
        <v>46206</v>
      </c>
      <c r="B7" s="12"/>
      <c r="C7" s="12"/>
      <c r="D7" s="12"/>
      <c r="E7" s="12"/>
      <c r="F7" s="12"/>
      <c r="G7" s="12"/>
      <c r="H7" s="12"/>
      <c r="I7" s="12"/>
      <c r="J7" s="12"/>
      <c r="K7" s="5"/>
      <c r="L7" s="2">
        <f t="shared" si="0"/>
        <v>0</v>
      </c>
    </row>
    <row r="8" spans="1:12" x14ac:dyDescent="0.25">
      <c r="A8" s="7">
        <v>46207</v>
      </c>
      <c r="B8" s="12"/>
      <c r="C8" s="12"/>
      <c r="D8" s="12"/>
      <c r="E8" s="12"/>
      <c r="F8" s="12"/>
      <c r="G8" s="12"/>
      <c r="H8" s="12"/>
      <c r="I8" s="12"/>
      <c r="J8" s="12"/>
      <c r="K8" s="5"/>
      <c r="L8" s="2">
        <f t="shared" si="0"/>
        <v>0</v>
      </c>
    </row>
    <row r="9" spans="1:12" x14ac:dyDescent="0.25">
      <c r="A9" s="7">
        <v>46208</v>
      </c>
      <c r="B9" s="12"/>
      <c r="C9" s="12"/>
      <c r="D9" s="12"/>
      <c r="E9" s="12"/>
      <c r="F9" s="12"/>
      <c r="G9" s="12"/>
      <c r="H9" s="12"/>
      <c r="I9" s="12"/>
      <c r="J9" s="12"/>
      <c r="K9" s="5"/>
      <c r="L9" s="2">
        <f t="shared" si="0"/>
        <v>0</v>
      </c>
    </row>
    <row r="10" spans="1:12" x14ac:dyDescent="0.25">
      <c r="A10" s="7">
        <v>46209</v>
      </c>
      <c r="B10" s="12"/>
      <c r="C10" s="12"/>
      <c r="D10" s="12"/>
      <c r="E10" s="12"/>
      <c r="F10" s="12"/>
      <c r="G10" s="12"/>
      <c r="H10" s="12"/>
      <c r="I10" s="12"/>
      <c r="J10" s="12"/>
      <c r="K10" s="5"/>
      <c r="L10" s="2">
        <f t="shared" si="0"/>
        <v>0</v>
      </c>
    </row>
    <row r="11" spans="1:12" x14ac:dyDescent="0.25">
      <c r="A11" s="7">
        <v>46210</v>
      </c>
      <c r="B11" s="12"/>
      <c r="C11" s="12"/>
      <c r="D11" s="12"/>
      <c r="E11" s="12"/>
      <c r="F11" s="12"/>
      <c r="G11" s="12"/>
      <c r="H11" s="12"/>
      <c r="I11" s="12"/>
      <c r="J11" s="12"/>
      <c r="K11" s="5"/>
      <c r="L11" s="2">
        <f t="shared" si="0"/>
        <v>0</v>
      </c>
    </row>
    <row r="12" spans="1:12" x14ac:dyDescent="0.25">
      <c r="A12" s="7">
        <v>46211</v>
      </c>
      <c r="B12" s="12"/>
      <c r="C12" s="12"/>
      <c r="D12" s="12"/>
      <c r="E12" s="12"/>
      <c r="F12" s="12"/>
      <c r="G12" s="12"/>
      <c r="H12" s="12"/>
      <c r="I12" s="12"/>
      <c r="J12" s="12"/>
      <c r="K12" s="5"/>
      <c r="L12" s="2">
        <f t="shared" si="0"/>
        <v>0</v>
      </c>
    </row>
    <row r="13" spans="1:12" x14ac:dyDescent="0.25">
      <c r="A13" s="7">
        <v>46212</v>
      </c>
      <c r="B13" s="12"/>
      <c r="C13" s="12"/>
      <c r="D13" s="12"/>
      <c r="E13" s="12"/>
      <c r="F13" s="12"/>
      <c r="G13" s="12"/>
      <c r="H13" s="12"/>
      <c r="I13" s="12"/>
      <c r="J13" s="12"/>
      <c r="K13" s="5"/>
      <c r="L13" s="2">
        <f t="shared" si="0"/>
        <v>0</v>
      </c>
    </row>
    <row r="14" spans="1:12" x14ac:dyDescent="0.25">
      <c r="A14" s="7">
        <v>46213</v>
      </c>
      <c r="B14" s="12"/>
      <c r="C14" s="12"/>
      <c r="D14" s="12"/>
      <c r="E14" s="12"/>
      <c r="F14" s="12"/>
      <c r="G14" s="12"/>
      <c r="H14" s="12"/>
      <c r="I14" s="12"/>
      <c r="J14" s="12"/>
      <c r="K14" s="5"/>
      <c r="L14" s="2">
        <f t="shared" si="0"/>
        <v>0</v>
      </c>
    </row>
    <row r="15" spans="1:12" x14ac:dyDescent="0.25">
      <c r="A15" s="7">
        <v>46214</v>
      </c>
      <c r="B15" s="12"/>
      <c r="C15" s="12"/>
      <c r="D15" s="12"/>
      <c r="E15" s="12"/>
      <c r="F15" s="12"/>
      <c r="G15" s="12"/>
      <c r="H15" s="12"/>
      <c r="I15" s="12"/>
      <c r="J15" s="12"/>
      <c r="K15" s="5"/>
      <c r="L15" s="2">
        <f t="shared" si="0"/>
        <v>0</v>
      </c>
    </row>
    <row r="16" spans="1:12" x14ac:dyDescent="0.25">
      <c r="A16" s="7">
        <v>46215</v>
      </c>
      <c r="B16" s="12"/>
      <c r="C16" s="12"/>
      <c r="D16" s="12"/>
      <c r="E16" s="12"/>
      <c r="F16" s="12"/>
      <c r="G16" s="12"/>
      <c r="H16" s="12"/>
      <c r="I16" s="12"/>
      <c r="J16" s="12"/>
      <c r="K16" s="5"/>
      <c r="L16" s="2">
        <f t="shared" si="0"/>
        <v>0</v>
      </c>
    </row>
    <row r="17" spans="1:12" x14ac:dyDescent="0.25">
      <c r="A17" s="7">
        <v>46216</v>
      </c>
      <c r="B17" s="12"/>
      <c r="C17" s="12"/>
      <c r="D17" s="12"/>
      <c r="E17" s="12"/>
      <c r="F17" s="12"/>
      <c r="G17" s="12"/>
      <c r="H17" s="12"/>
      <c r="I17" s="12"/>
      <c r="J17" s="12"/>
      <c r="K17" s="5"/>
      <c r="L17" s="2">
        <f t="shared" si="0"/>
        <v>0</v>
      </c>
    </row>
    <row r="18" spans="1:12" x14ac:dyDescent="0.25">
      <c r="A18" s="7">
        <v>46217</v>
      </c>
      <c r="B18" s="12"/>
      <c r="C18" s="12"/>
      <c r="D18" s="12"/>
      <c r="E18" s="12"/>
      <c r="F18" s="12"/>
      <c r="G18" s="12"/>
      <c r="H18" s="12"/>
      <c r="I18" s="12"/>
      <c r="J18" s="12"/>
      <c r="K18" s="5"/>
      <c r="L18" s="2">
        <f t="shared" si="0"/>
        <v>0</v>
      </c>
    </row>
    <row r="19" spans="1:12" x14ac:dyDescent="0.25">
      <c r="A19" s="7">
        <v>46218</v>
      </c>
      <c r="B19" s="12">
        <f>+'[1]LIVREUR EXTERNE'!B$12</f>
        <v>0</v>
      </c>
      <c r="C19" s="12">
        <f>+'[1]LIVREUR EXTERNE'!C$12</f>
        <v>0</v>
      </c>
      <c r="D19" s="12">
        <f>+'[1]LIVREUR EXTERNE'!D$12</f>
        <v>0</v>
      </c>
      <c r="E19" s="12">
        <f>+'[1]LIVREUR EXTERNE'!E$12</f>
        <v>0</v>
      </c>
      <c r="F19" s="12">
        <f>+'[1]LIVREUR EXTERNE'!F$12</f>
        <v>0</v>
      </c>
      <c r="G19" s="12">
        <f>+'[1]LIVREUR EXTERNE'!G$12</f>
        <v>0</v>
      </c>
      <c r="H19" s="12">
        <f>+'[1]LIVREUR EXTERNE'!H$12</f>
        <v>0</v>
      </c>
      <c r="I19" s="12">
        <f>+'[1]LIVREUR EXTERNE'!I$12</f>
        <v>0</v>
      </c>
      <c r="J19" s="12">
        <f>+'[1]LIVREUR EXTERNE'!J$12</f>
        <v>0</v>
      </c>
      <c r="K19" s="5">
        <f>+'[1]LIVREUR EXTERNE'!N$12</f>
        <v>0</v>
      </c>
      <c r="L19" s="2">
        <f t="shared" si="0"/>
        <v>0</v>
      </c>
    </row>
    <row r="20" spans="1:12" x14ac:dyDescent="0.25">
      <c r="A20" s="7">
        <v>46219</v>
      </c>
      <c r="B20" s="12">
        <f>+'[2]LIVREUR EXTERNE'!B$12</f>
        <v>0</v>
      </c>
      <c r="C20" s="12">
        <f>+'[2]LIVREUR EXTERNE'!C$12</f>
        <v>125</v>
      </c>
      <c r="D20" s="12">
        <f>+'[2]LIVREUR EXTERNE'!D$12</f>
        <v>300</v>
      </c>
      <c r="E20" s="12">
        <f>+'[2]LIVREUR EXTERNE'!E$12</f>
        <v>27</v>
      </c>
      <c r="F20" s="12">
        <f>+'[2]LIVREUR EXTERNE'!F$12</f>
        <v>0</v>
      </c>
      <c r="G20" s="12">
        <f>+'[2]LIVREUR EXTERNE'!G$12</f>
        <v>0</v>
      </c>
      <c r="H20" s="12">
        <f>+'[2]LIVREUR EXTERNE'!H$12</f>
        <v>0</v>
      </c>
      <c r="I20" s="12">
        <f>+'[2]LIVREUR EXTERNE'!I$12</f>
        <v>0</v>
      </c>
      <c r="J20" s="12">
        <f>+'[2]LIVREUR EXTERNE'!J$12</f>
        <v>43695</v>
      </c>
      <c r="K20" s="5">
        <f>+'[2]LIVREUR EXTERNE'!N$12</f>
        <v>42000</v>
      </c>
      <c r="L20" s="2">
        <f t="shared" si="0"/>
        <v>1695</v>
      </c>
    </row>
    <row r="21" spans="1:12" x14ac:dyDescent="0.25">
      <c r="A21" s="7">
        <v>46220</v>
      </c>
      <c r="B21" s="12">
        <f>+'[3]LIVREUR EXTERNE'!B$12</f>
        <v>0</v>
      </c>
      <c r="C21" s="12">
        <f>+'[3]LIVREUR EXTERNE'!C$12</f>
        <v>110</v>
      </c>
      <c r="D21" s="12">
        <f>+'[3]LIVREUR EXTERNE'!D$12</f>
        <v>290</v>
      </c>
      <c r="E21" s="12">
        <f>+'[3]LIVREUR EXTERNE'!E$12</f>
        <v>25</v>
      </c>
      <c r="F21" s="12">
        <f>+'[3]LIVREUR EXTERNE'!F$12</f>
        <v>0</v>
      </c>
      <c r="G21" s="12">
        <f>+'[3]LIVREUR EXTERNE'!G$12</f>
        <v>0</v>
      </c>
      <c r="H21" s="12">
        <f>+'[3]LIVREUR EXTERNE'!H$12</f>
        <v>0</v>
      </c>
      <c r="I21" s="12">
        <f>+'[3]LIVREUR EXTERNE'!I$12</f>
        <v>0</v>
      </c>
      <c r="J21" s="12">
        <f>+'[3]LIVREUR EXTERNE'!J$12</f>
        <v>41250</v>
      </c>
      <c r="K21" s="5">
        <f>+'[3]LIVREUR EXTERNE'!N$12</f>
        <v>43000</v>
      </c>
      <c r="L21" s="2">
        <f t="shared" si="0"/>
        <v>-55</v>
      </c>
    </row>
    <row r="22" spans="1:12" x14ac:dyDescent="0.25">
      <c r="A22" s="7">
        <v>46221</v>
      </c>
      <c r="B22" s="12">
        <f>+'[4]LIVREUR EXTERNE'!B$12</f>
        <v>0</v>
      </c>
      <c r="C22" s="12">
        <f>+'[4]LIVREUR EXTERNE'!C$12</f>
        <v>110</v>
      </c>
      <c r="D22" s="12">
        <f>+'[4]LIVREUR EXTERNE'!D$12</f>
        <v>320</v>
      </c>
      <c r="E22" s="12">
        <f>+'[4]LIVREUR EXTERNE'!E$12</f>
        <v>30</v>
      </c>
      <c r="F22" s="12">
        <f>+'[4]LIVREUR EXTERNE'!F$12</f>
        <v>0</v>
      </c>
      <c r="G22" s="12">
        <f>+'[4]LIVREUR EXTERNE'!G$12</f>
        <v>0</v>
      </c>
      <c r="H22" s="12">
        <f>+'[4]LIVREUR EXTERNE'!H$12</f>
        <v>0</v>
      </c>
      <c r="I22" s="12">
        <f>+'[4]LIVREUR EXTERNE'!I$12</f>
        <v>0</v>
      </c>
      <c r="J22" s="12">
        <f>+'[4]LIVREUR EXTERNE'!J$12</f>
        <v>45050</v>
      </c>
      <c r="K22" s="5">
        <f>+'[4]LIVREUR EXTERNE'!N$12</f>
        <v>49225</v>
      </c>
      <c r="L22" s="2">
        <f t="shared" si="0"/>
        <v>-4230</v>
      </c>
    </row>
    <row r="23" spans="1:12" x14ac:dyDescent="0.25">
      <c r="A23" s="7">
        <v>46222</v>
      </c>
      <c r="B23" s="12">
        <f>+'[5]LIVREUR EXTERNE'!B$12</f>
        <v>0</v>
      </c>
      <c r="C23" s="12">
        <f>+'[5]LIVREUR EXTERNE'!C$12</f>
        <v>110</v>
      </c>
      <c r="D23" s="12">
        <f>+'[5]LIVREUR EXTERNE'!D$12</f>
        <v>36</v>
      </c>
      <c r="E23" s="12">
        <f>+'[5]LIVREUR EXTERNE'!E$12</f>
        <v>31</v>
      </c>
      <c r="F23" s="12">
        <f>+'[5]LIVREUR EXTERNE'!F$12</f>
        <v>0</v>
      </c>
      <c r="G23" s="12">
        <f>+'[5]LIVREUR EXTERNE'!G$12</f>
        <v>0</v>
      </c>
      <c r="H23" s="12">
        <f>+'[5]LIVREUR EXTERNE'!H$12</f>
        <v>0</v>
      </c>
      <c r="I23" s="12">
        <f>+'[5]LIVREUR EXTERNE'!I$12</f>
        <v>0</v>
      </c>
      <c r="J23" s="12">
        <f>+'[5]LIVREUR EXTERNE'!J$12</f>
        <v>16810</v>
      </c>
      <c r="K23" s="5">
        <f>+'[5]LIVREUR EXTERNE'!N$12</f>
        <v>41000</v>
      </c>
      <c r="L23" s="2">
        <f t="shared" si="0"/>
        <v>-28420</v>
      </c>
    </row>
    <row r="24" spans="1:12" x14ac:dyDescent="0.25">
      <c r="A24" s="7">
        <v>46223</v>
      </c>
      <c r="B24" s="12">
        <f>+'[6]LIVREUR EXTERNE'!B$12</f>
        <v>0</v>
      </c>
      <c r="C24" s="12">
        <f>+'[6]LIVREUR EXTERNE'!C$12</f>
        <v>125</v>
      </c>
      <c r="D24" s="12">
        <f>+'[6]LIVREUR EXTERNE'!D$12</f>
        <v>285</v>
      </c>
      <c r="E24" s="12">
        <f>+'[6]LIVREUR EXTERNE'!E$12</f>
        <v>20</v>
      </c>
      <c r="F24" s="12">
        <f>+'[6]LIVREUR EXTERNE'!F$12</f>
        <v>0</v>
      </c>
      <c r="G24" s="12">
        <f>+'[6]LIVREUR EXTERNE'!G$12</f>
        <v>0</v>
      </c>
      <c r="H24" s="12">
        <f>+'[6]LIVREUR EXTERNE'!H$12</f>
        <v>0</v>
      </c>
      <c r="I24" s="12">
        <f>+'[6]LIVREUR EXTERNE'!I$12</f>
        <v>0</v>
      </c>
      <c r="J24" s="12">
        <f>+'[6]LIVREUR EXTERNE'!J$12</f>
        <v>41075</v>
      </c>
      <c r="K24" s="5">
        <f>+'[6]LIVREUR EXTERNE'!N$12</f>
        <v>41550</v>
      </c>
      <c r="L24" s="2">
        <f t="shared" si="0"/>
        <v>-28895</v>
      </c>
    </row>
    <row r="25" spans="1:12" x14ac:dyDescent="0.25">
      <c r="A25" s="7">
        <v>46224</v>
      </c>
      <c r="B25" s="12">
        <f>+'[7]LIVREUR EXTERNE'!B$12</f>
        <v>0</v>
      </c>
      <c r="C25" s="12">
        <f>+'[7]LIVREUR EXTERNE'!C$12</f>
        <v>115</v>
      </c>
      <c r="D25" s="12">
        <f>+'[7]LIVREUR EXTERNE'!D$12</f>
        <v>278</v>
      </c>
      <c r="E25" s="12">
        <f>+'[7]LIVREUR EXTERNE'!E$12</f>
        <v>32</v>
      </c>
      <c r="F25" s="12">
        <f>+'[7]LIVREUR EXTERNE'!F$12</f>
        <v>0</v>
      </c>
      <c r="G25" s="12">
        <f>+'[7]LIVREUR EXTERNE'!G$12</f>
        <v>0</v>
      </c>
      <c r="H25" s="12">
        <f>+'[7]LIVREUR EXTERNE'!H$12</f>
        <v>0</v>
      </c>
      <c r="I25" s="12">
        <f>+'[7]LIVREUR EXTERNE'!I$12</f>
        <v>0</v>
      </c>
      <c r="J25" s="12">
        <f>+'[7]LIVREUR EXTERNE'!J$12</f>
        <v>41545</v>
      </c>
      <c r="K25" s="5">
        <f>+'[7]LIVREUR EXTERNE'!N$12</f>
        <v>39225</v>
      </c>
      <c r="L25" s="2">
        <f t="shared" si="0"/>
        <v>-26575</v>
      </c>
    </row>
    <row r="26" spans="1:12" x14ac:dyDescent="0.25">
      <c r="A26" s="7">
        <v>46225</v>
      </c>
      <c r="B26" s="12">
        <f>+'[8]LIVREUR EXTERNE'!B$12</f>
        <v>0</v>
      </c>
      <c r="C26" s="12">
        <f>+'[8]LIVREUR EXTERNE'!C$12</f>
        <v>95</v>
      </c>
      <c r="D26" s="12">
        <f>+'[8]LIVREUR EXTERNE'!D$12</f>
        <v>278</v>
      </c>
      <c r="E26" s="12">
        <f>+'[8]LIVREUR EXTERNE'!E$12</f>
        <v>27</v>
      </c>
      <c r="F26" s="12">
        <f>+'[8]LIVREUR EXTERNE'!F$12</f>
        <v>0</v>
      </c>
      <c r="G26" s="12">
        <f>+'[8]LIVREUR EXTERNE'!G$12</f>
        <v>0</v>
      </c>
      <c r="H26" s="12">
        <f>+'[8]LIVREUR EXTERNE'!H$12</f>
        <v>0</v>
      </c>
      <c r="I26" s="12">
        <f>+'[8]LIVREUR EXTERNE'!I$12</f>
        <v>0</v>
      </c>
      <c r="J26" s="12">
        <f>+'[8]LIVREUR EXTERNE'!J$12</f>
        <v>39245</v>
      </c>
      <c r="K26" s="5">
        <f>+'[8]LIVREUR EXTERNE'!N$12</f>
        <v>39725</v>
      </c>
      <c r="L26" s="2">
        <f t="shared" si="0"/>
        <v>-27055</v>
      </c>
    </row>
    <row r="27" spans="1:12" x14ac:dyDescent="0.25">
      <c r="A27" s="7">
        <v>46226</v>
      </c>
      <c r="B27" s="12">
        <f>+'[9]LIVREUR EXTERNE'!B$12</f>
        <v>0</v>
      </c>
      <c r="C27" s="12">
        <f>+'[9]LIVREUR EXTERNE'!C$12</f>
        <v>110</v>
      </c>
      <c r="D27" s="12">
        <f>+'[9]LIVREUR EXTERNE'!D$12</f>
        <v>275</v>
      </c>
      <c r="E27" s="12">
        <f>+'[9]LIVREUR EXTERNE'!E$12</f>
        <v>25</v>
      </c>
      <c r="F27" s="12">
        <f>+'[9]LIVREUR EXTERNE'!F$12</f>
        <v>0</v>
      </c>
      <c r="G27" s="12">
        <f>+'[9]LIVREUR EXTERNE'!G$12</f>
        <v>0</v>
      </c>
      <c r="H27" s="12">
        <f>+'[9]LIVREUR EXTERNE'!H$12</f>
        <v>0</v>
      </c>
      <c r="I27" s="12">
        <f>+'[9]LIVREUR EXTERNE'!I$12</f>
        <v>0</v>
      </c>
      <c r="J27" s="12">
        <f>+'[9]LIVREUR EXTERNE'!J$12</f>
        <v>39750</v>
      </c>
      <c r="K27" s="5">
        <f>+'[9]LIVREUR EXTERNE'!N$12</f>
        <v>38200</v>
      </c>
      <c r="L27" s="2">
        <f t="shared" si="0"/>
        <v>-25505</v>
      </c>
    </row>
    <row r="28" spans="1:12" x14ac:dyDescent="0.25">
      <c r="A28" s="7">
        <v>46227</v>
      </c>
      <c r="B28" s="12">
        <f>+'[10]LIVREUR EXTERNE'!B$12</f>
        <v>0</v>
      </c>
      <c r="C28" s="12">
        <f>+'[10]LIVREUR EXTERNE'!C$12</f>
        <v>120</v>
      </c>
      <c r="D28" s="12">
        <f>+'[10]LIVREUR EXTERNE'!D$12</f>
        <v>275</v>
      </c>
      <c r="E28" s="12">
        <f>+'[10]LIVREUR EXTERNE'!E$12</f>
        <v>17</v>
      </c>
      <c r="F28" s="12">
        <f>+'[10]LIVREUR EXTERNE'!F$12</f>
        <v>0</v>
      </c>
      <c r="G28" s="12">
        <f>+'[10]LIVREUR EXTERNE'!G$12</f>
        <v>0</v>
      </c>
      <c r="H28" s="12">
        <f>+'[10]LIVREUR EXTERNE'!H$12</f>
        <v>0</v>
      </c>
      <c r="I28" s="12">
        <f>+'[10]LIVREUR EXTERNE'!I$12</f>
        <v>0</v>
      </c>
      <c r="J28" s="12">
        <f>+'[10]LIVREUR EXTERNE'!J$12</f>
        <v>39220</v>
      </c>
      <c r="K28" s="5">
        <f>+'[10]LIVREUR EXTERNE'!N$12</f>
        <v>43750</v>
      </c>
      <c r="L28" s="2">
        <f t="shared" si="0"/>
        <v>-30035</v>
      </c>
    </row>
    <row r="29" spans="1:12" x14ac:dyDescent="0.25">
      <c r="A29" s="7">
        <v>46228</v>
      </c>
      <c r="B29" s="12">
        <f>+'[11]LIVREUR EXTERNE'!B$12</f>
        <v>0</v>
      </c>
      <c r="C29" s="12">
        <f>+'[11]LIVREUR EXTERNE'!C$12</f>
        <v>115</v>
      </c>
      <c r="D29" s="12">
        <f>+'[11]LIVREUR EXTERNE'!D$12</f>
        <v>310</v>
      </c>
      <c r="E29" s="12">
        <f>+'[11]LIVREUR EXTERNE'!E$12</f>
        <v>27</v>
      </c>
      <c r="F29" s="12">
        <f>+'[11]LIVREUR EXTERNE'!F$12</f>
        <v>0</v>
      </c>
      <c r="G29" s="12">
        <f>+'[11]LIVREUR EXTERNE'!G$12</f>
        <v>0</v>
      </c>
      <c r="H29" s="12">
        <f>+'[11]LIVREUR EXTERNE'!H$12</f>
        <v>0</v>
      </c>
      <c r="I29" s="12">
        <f>+'[11]LIVREUR EXTERNE'!I$12</f>
        <v>0</v>
      </c>
      <c r="J29" s="12">
        <f>+'[11]LIVREUR EXTERNE'!J$12</f>
        <v>43945</v>
      </c>
      <c r="K29" s="5">
        <f>+'[11]LIVREUR EXTERNE'!N$12</f>
        <v>46400</v>
      </c>
      <c r="L29" s="2">
        <f t="shared" si="0"/>
        <v>-32490</v>
      </c>
    </row>
    <row r="30" spans="1:12" x14ac:dyDescent="0.25">
      <c r="A30" s="7">
        <v>46229</v>
      </c>
      <c r="B30" s="12">
        <f>+'[12]LIVREUR EXTERNE'!B$12</f>
        <v>0</v>
      </c>
      <c r="C30" s="12">
        <f>+'[12]LIVREUR EXTERNE'!C$12</f>
        <v>125</v>
      </c>
      <c r="D30" s="12">
        <f>+'[12]LIVREUR EXTERNE'!D$12</f>
        <v>325</v>
      </c>
      <c r="E30" s="12">
        <f>+'[12]LIVREUR EXTERNE'!E$12</f>
        <v>27</v>
      </c>
      <c r="F30" s="12">
        <f>+'[12]LIVREUR EXTERNE'!F$12</f>
        <v>0</v>
      </c>
      <c r="G30" s="12">
        <f>+'[12]LIVREUR EXTERNE'!G$12</f>
        <v>0</v>
      </c>
      <c r="H30" s="12">
        <f>+'[12]LIVREUR EXTERNE'!H$12</f>
        <v>0</v>
      </c>
      <c r="I30" s="12">
        <f>+'[12]LIVREUR EXTERNE'!I$12</f>
        <v>0</v>
      </c>
      <c r="J30" s="12">
        <f>+'[12]LIVREUR EXTERNE'!J$12</f>
        <v>46195</v>
      </c>
      <c r="K30" s="5">
        <f>+'[12]LIVREUR EXTERNE'!N$12</f>
        <v>41000</v>
      </c>
      <c r="L30" s="2">
        <f t="shared" si="0"/>
        <v>-27295</v>
      </c>
    </row>
    <row r="31" spans="1:12" x14ac:dyDescent="0.25">
      <c r="A31" s="7">
        <v>46230</v>
      </c>
      <c r="B31" s="12">
        <f>+'[13]LIVREUR EXTERNE'!B$12</f>
        <v>0</v>
      </c>
      <c r="C31" s="12">
        <f>+'[13]LIVREUR EXTERNE'!C$12</f>
        <v>120</v>
      </c>
      <c r="D31" s="12">
        <f>+'[13]LIVREUR EXTERNE'!D$12</f>
        <v>280</v>
      </c>
      <c r="E31" s="12">
        <f>+'[13]LIVREUR EXTERNE'!E$12</f>
        <v>25</v>
      </c>
      <c r="F31" s="12">
        <f>+'[13]LIVREUR EXTERNE'!F$12</f>
        <v>0</v>
      </c>
      <c r="G31" s="12">
        <f>+'[13]LIVREUR EXTERNE'!F$12</f>
        <v>0</v>
      </c>
      <c r="H31" s="12">
        <f>+'[13]LIVREUR EXTERNE'!G$12</f>
        <v>0</v>
      </c>
      <c r="I31" s="12">
        <f>+'[13]LIVREUR EXTERNE'!H$12</f>
        <v>0</v>
      </c>
      <c r="J31" s="12">
        <f>+'[13]LIVREUR EXTERNE'!J$12</f>
        <v>41000</v>
      </c>
      <c r="K31" s="5">
        <f>+'[13]LIVREUR EXTERNE'!N$12</f>
        <v>41950</v>
      </c>
      <c r="L31" s="2">
        <f t="shared" si="0"/>
        <v>-28245</v>
      </c>
    </row>
    <row r="32" spans="1:12" x14ac:dyDescent="0.25">
      <c r="A32" s="7">
        <v>46231</v>
      </c>
      <c r="B32" s="12">
        <f>+'[14]LIVREUR EXTERNE'!B$12</f>
        <v>0</v>
      </c>
      <c r="C32" s="12">
        <f>+'[14]LIVREUR EXTERNE'!C$12</f>
        <v>115</v>
      </c>
      <c r="D32" s="12">
        <f>+'[14]LIVREUR EXTERNE'!D$12</f>
        <v>290</v>
      </c>
      <c r="E32" s="12">
        <f>+'[14]LIVREUR EXTERNE'!E$12</f>
        <v>27</v>
      </c>
      <c r="F32" s="12">
        <f>+'[14]LIVREUR EXTERNE'!F$12</f>
        <v>0</v>
      </c>
      <c r="G32" s="12">
        <f>+'[14]LIVREUR EXTERNE'!G$12</f>
        <v>0</v>
      </c>
      <c r="H32" s="12">
        <f>+'[14]LIVREUR EXTERNE'!H$12</f>
        <v>0</v>
      </c>
      <c r="I32" s="12">
        <f>+'[14]LIVREUR EXTERNE'!I$12</f>
        <v>0</v>
      </c>
      <c r="J32" s="12">
        <f>+'[14]LIVREUR EXTERNE'!J$12</f>
        <v>41945</v>
      </c>
      <c r="K32" s="5">
        <f>+'[14]LIVREUR EXTERNE'!N$12</f>
        <v>44400</v>
      </c>
      <c r="L32" s="2">
        <f t="shared" si="0"/>
        <v>-30700</v>
      </c>
    </row>
    <row r="33" spans="1:12" x14ac:dyDescent="0.25">
      <c r="A33" s="7">
        <v>46232</v>
      </c>
      <c r="B33" s="12">
        <f>+'[15]LIVREUR EXTERNE'!B$12</f>
        <v>0</v>
      </c>
      <c r="C33" s="12">
        <f>+'[15]LIVREUR EXTERNE'!C$12</f>
        <v>130</v>
      </c>
      <c r="D33" s="12">
        <f>+'[15]LIVREUR EXTERNE'!D$12</f>
        <v>300</v>
      </c>
      <c r="E33" s="12">
        <f>+'[15]LIVREUR EXTERNE'!E$12</f>
        <v>29</v>
      </c>
      <c r="F33" s="12">
        <f>+'[15]LIVREUR EXTERNE'!F$12</f>
        <v>0</v>
      </c>
      <c r="G33" s="12">
        <f>+'[15]LIVREUR EXTERNE'!G$12</f>
        <v>0</v>
      </c>
      <c r="H33" s="12">
        <f>+'[15]LIVREUR EXTERNE'!H$12</f>
        <v>0</v>
      </c>
      <c r="I33" s="12">
        <f>+'[15]LIVREUR EXTERNE'!I$12</f>
        <v>0</v>
      </c>
      <c r="J33" s="12">
        <f>+'[15]LIVREUR EXTERNE'!J$12</f>
        <v>44390</v>
      </c>
      <c r="K33" s="5">
        <f>+'[15]LIVREUR EXTERNE'!N$12</f>
        <v>45550</v>
      </c>
      <c r="L33" s="2">
        <f t="shared" si="0"/>
        <v>-31860</v>
      </c>
    </row>
    <row r="34" spans="1:12" x14ac:dyDescent="0.25">
      <c r="A34" s="7">
        <v>46233</v>
      </c>
      <c r="B34" s="12">
        <f>+'[16]LIVREUR EXTERNE'!B$12</f>
        <v>0</v>
      </c>
      <c r="C34" s="12">
        <f>+'[16]LIVREUR EXTERNE'!C$12</f>
        <v>130</v>
      </c>
      <c r="D34" s="12">
        <f>+'[16]LIVREUR EXTERNE'!D$12</f>
        <v>315</v>
      </c>
      <c r="E34" s="12">
        <f>+'[16]LIVREUR EXTERNE'!E$12</f>
        <v>27</v>
      </c>
      <c r="F34" s="12">
        <f>+'[16]LIVREUR EXTERNE'!F$12</f>
        <v>0</v>
      </c>
      <c r="G34" s="12">
        <f>+'[16]LIVREUR EXTERNE'!G$12</f>
        <v>0</v>
      </c>
      <c r="H34" s="12">
        <f>+'[16]LIVREUR EXTERNE'!H$12</f>
        <v>0</v>
      </c>
      <c r="I34" s="12">
        <f>+'[16]LIVREUR EXTERNE'!I$12</f>
        <v>0</v>
      </c>
      <c r="J34" s="12">
        <f>+'[16]LIVREUR EXTERNE'!J$12</f>
        <v>45570</v>
      </c>
      <c r="K34" s="5">
        <f>+'[16]LIVREUR EXTERNE'!N$12</f>
        <v>41000</v>
      </c>
      <c r="L34" s="2">
        <f t="shared" si="0"/>
        <v>-27290</v>
      </c>
    </row>
    <row r="35" spans="1:12" x14ac:dyDescent="0.25">
      <c r="A35" s="7">
        <v>46234</v>
      </c>
      <c r="B35" s="12">
        <f>+'[17]LIVREUR EXTERNE'!B$12</f>
        <v>0</v>
      </c>
      <c r="C35" s="12">
        <f>+'[17]LIVREUR EXTERNE'!C$12</f>
        <v>100</v>
      </c>
      <c r="D35" s="12">
        <f>+'[17]LIVREUR EXTERNE'!D$12</f>
        <v>300</v>
      </c>
      <c r="E35" s="12">
        <f>+'[17]LIVREUR EXTERNE'!E$12</f>
        <v>22</v>
      </c>
      <c r="F35" s="12">
        <f>+'[17]LIVREUR EXTERNE'!F$12</f>
        <v>0</v>
      </c>
      <c r="G35" s="12">
        <f>+'[17]LIVREUR EXTERNE'!G$12</f>
        <v>0</v>
      </c>
      <c r="H35" s="12">
        <f>+'[17]LIVREUR EXTERNE'!H$12</f>
        <v>0</v>
      </c>
      <c r="I35" s="12">
        <f>+'[17]LIVREUR EXTERNE'!I$12</f>
        <v>0</v>
      </c>
      <c r="J35" s="12">
        <f>+'[17]LIVREUR EXTERNE'!J$12</f>
        <v>41020</v>
      </c>
      <c r="K35" s="5">
        <f>+'[17]LIVREUR EXTERNE'!N$12</f>
        <v>47350</v>
      </c>
      <c r="L35" s="2">
        <f t="shared" si="0"/>
        <v>-33620</v>
      </c>
    </row>
    <row r="36" spans="1:12" x14ac:dyDescent="0.25">
      <c r="A36" s="8" t="s">
        <v>13</v>
      </c>
      <c r="B36" s="11">
        <f>+SUM(B4:B35)</f>
        <v>0</v>
      </c>
      <c r="C36" s="11">
        <f t="shared" ref="C36:K36" si="1">+SUM(C4:C35)</f>
        <v>1855</v>
      </c>
      <c r="D36" s="11">
        <f t="shared" si="1"/>
        <v>4457</v>
      </c>
      <c r="E36" s="11">
        <f t="shared" si="1"/>
        <v>418</v>
      </c>
      <c r="F36" s="11">
        <f t="shared" si="1"/>
        <v>0</v>
      </c>
      <c r="G36" s="11">
        <f t="shared" si="1"/>
        <v>0</v>
      </c>
      <c r="H36" s="11">
        <f t="shared" si="1"/>
        <v>0</v>
      </c>
      <c r="I36" s="11">
        <f t="shared" si="1"/>
        <v>0</v>
      </c>
      <c r="J36" s="11">
        <f t="shared" si="1"/>
        <v>651705</v>
      </c>
      <c r="K36" s="9">
        <f t="shared" si="1"/>
        <v>685325</v>
      </c>
      <c r="L36" s="9">
        <f>+K36-J36</f>
        <v>33620</v>
      </c>
    </row>
  </sheetData>
  <mergeCells count="6">
    <mergeCell ref="L2:L3"/>
    <mergeCell ref="A1:I1"/>
    <mergeCell ref="A2:A3"/>
    <mergeCell ref="B2:G2"/>
    <mergeCell ref="J2:J3"/>
    <mergeCell ref="K2:K3"/>
  </mergeCells>
  <pageMargins left="0" right="0" top="0" bottom="0" header="0.31496062992125984" footer="0.31496062992125984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36"/>
  <sheetViews>
    <sheetView workbookViewId="0">
      <selection activeCell="C5" sqref="C5:D17"/>
    </sheetView>
  </sheetViews>
  <sheetFormatPr baseColWidth="10" defaultRowHeight="15" x14ac:dyDescent="0.25"/>
  <cols>
    <col min="1" max="1" width="10.85546875" bestFit="1" customWidth="1"/>
    <col min="2" max="9" width="7.28515625" customWidth="1"/>
    <col min="10" max="10" width="10" bestFit="1" customWidth="1"/>
    <col min="11" max="11" width="10.7109375" bestFit="1" customWidth="1"/>
    <col min="12" max="12" width="8.85546875" bestFit="1" customWidth="1"/>
  </cols>
  <sheetData>
    <row r="1" spans="1:12" x14ac:dyDescent="0.25">
      <c r="A1" s="18" t="s">
        <v>11</v>
      </c>
      <c r="B1" s="18"/>
      <c r="C1" s="18"/>
      <c r="D1" s="18"/>
      <c r="E1" s="18"/>
      <c r="F1" s="18"/>
      <c r="G1" s="18"/>
      <c r="H1" s="18"/>
      <c r="I1" s="18"/>
      <c r="J1" s="11" t="s">
        <v>20</v>
      </c>
      <c r="K1" s="9"/>
      <c r="L1" s="10">
        <v>46204</v>
      </c>
    </row>
    <row r="2" spans="1:12" x14ac:dyDescent="0.25">
      <c r="A2" s="19" t="s">
        <v>10</v>
      </c>
      <c r="B2" s="21" t="s">
        <v>0</v>
      </c>
      <c r="C2" s="21"/>
      <c r="D2" s="21"/>
      <c r="E2" s="21"/>
      <c r="F2" s="21"/>
      <c r="G2" s="21"/>
      <c r="H2" s="1" t="s">
        <v>1</v>
      </c>
      <c r="I2" s="2" t="s">
        <v>2</v>
      </c>
      <c r="J2" s="21" t="s">
        <v>3</v>
      </c>
      <c r="K2" s="20" t="s">
        <v>8</v>
      </c>
      <c r="L2" s="20" t="s">
        <v>9</v>
      </c>
    </row>
    <row r="3" spans="1:12" ht="30" x14ac:dyDescent="0.25">
      <c r="A3" s="19"/>
      <c r="B3" s="1">
        <v>40</v>
      </c>
      <c r="C3" s="1">
        <v>75</v>
      </c>
      <c r="D3" s="1">
        <v>100</v>
      </c>
      <c r="E3" s="1" t="s">
        <v>4</v>
      </c>
      <c r="F3" s="1" t="s">
        <v>5</v>
      </c>
      <c r="G3" s="1" t="s">
        <v>6</v>
      </c>
      <c r="H3" s="1">
        <v>80</v>
      </c>
      <c r="I3" s="1">
        <v>100</v>
      </c>
      <c r="J3" s="21"/>
      <c r="K3" s="20"/>
      <c r="L3" s="20"/>
    </row>
    <row r="4" spans="1:12" x14ac:dyDescent="0.25">
      <c r="A4" s="6" t="s">
        <v>7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</row>
    <row r="5" spans="1:12" x14ac:dyDescent="0.25">
      <c r="A5" s="7">
        <v>46204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2">
        <f>+J5+L4-K5</f>
        <v>0</v>
      </c>
    </row>
    <row r="6" spans="1:12" x14ac:dyDescent="0.25">
      <c r="A6" s="7">
        <v>46205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2">
        <f t="shared" ref="L6:L35" si="0">+J6+L5-K6</f>
        <v>0</v>
      </c>
    </row>
    <row r="7" spans="1:12" x14ac:dyDescent="0.25">
      <c r="A7" s="7">
        <v>46206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2">
        <f t="shared" si="0"/>
        <v>0</v>
      </c>
    </row>
    <row r="8" spans="1:12" x14ac:dyDescent="0.25">
      <c r="A8" s="7">
        <v>46207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2">
        <f t="shared" si="0"/>
        <v>0</v>
      </c>
    </row>
    <row r="9" spans="1:12" x14ac:dyDescent="0.25">
      <c r="A9" s="7">
        <v>46208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2">
        <f t="shared" si="0"/>
        <v>0</v>
      </c>
    </row>
    <row r="10" spans="1:12" x14ac:dyDescent="0.25">
      <c r="A10" s="7">
        <v>46209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2">
        <f t="shared" si="0"/>
        <v>0</v>
      </c>
    </row>
    <row r="11" spans="1:12" x14ac:dyDescent="0.25">
      <c r="A11" s="7">
        <v>46210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2">
        <f t="shared" si="0"/>
        <v>0</v>
      </c>
    </row>
    <row r="12" spans="1:12" x14ac:dyDescent="0.25">
      <c r="A12" s="7">
        <v>46211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2">
        <f t="shared" si="0"/>
        <v>0</v>
      </c>
    </row>
    <row r="13" spans="1:12" x14ac:dyDescent="0.25">
      <c r="A13" s="7">
        <v>46212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2">
        <f t="shared" si="0"/>
        <v>0</v>
      </c>
    </row>
    <row r="14" spans="1:12" x14ac:dyDescent="0.25">
      <c r="A14" s="7">
        <v>46213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2">
        <f t="shared" si="0"/>
        <v>0</v>
      </c>
    </row>
    <row r="15" spans="1:12" x14ac:dyDescent="0.25">
      <c r="A15" s="7">
        <v>46214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2">
        <f t="shared" si="0"/>
        <v>0</v>
      </c>
    </row>
    <row r="16" spans="1:12" x14ac:dyDescent="0.25">
      <c r="A16" s="7">
        <v>46215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2">
        <f t="shared" si="0"/>
        <v>0</v>
      </c>
    </row>
    <row r="17" spans="1:12" x14ac:dyDescent="0.25">
      <c r="A17" s="7">
        <v>46216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2">
        <f t="shared" si="0"/>
        <v>0</v>
      </c>
    </row>
    <row r="18" spans="1:12" x14ac:dyDescent="0.25">
      <c r="A18" s="7">
        <v>46217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2">
        <f t="shared" si="0"/>
        <v>0</v>
      </c>
    </row>
    <row r="19" spans="1:12" x14ac:dyDescent="0.25">
      <c r="A19" s="7">
        <v>46218</v>
      </c>
      <c r="B19" s="12">
        <f>+'[1]AGENCE CARREF'!B$5</f>
        <v>0</v>
      </c>
      <c r="C19" s="12">
        <f>+'[1]AGENCE CARREF'!C$5</f>
        <v>940</v>
      </c>
      <c r="D19" s="12">
        <f>+'[1]AGENCE CARREF'!D$5</f>
        <v>500</v>
      </c>
      <c r="E19" s="12">
        <f>+'[1]AGENCE CARREF'!E$5</f>
        <v>3</v>
      </c>
      <c r="F19" s="12">
        <f>+'[1]AGENCE CARREF'!F$5</f>
        <v>0</v>
      </c>
      <c r="G19" s="12">
        <f>+'[1]AGENCE CARREF'!G$5</f>
        <v>0</v>
      </c>
      <c r="H19" s="12">
        <f>+'[1]AGENCE CARREF'!H$5</f>
        <v>0</v>
      </c>
      <c r="I19" s="12">
        <f>+'[1]AGENCE CARREF'!I$5</f>
        <v>0</v>
      </c>
      <c r="J19" s="12">
        <f>+'[1]AGENCE CARREF'!J$5</f>
        <v>125680</v>
      </c>
      <c r="K19" s="5">
        <v>0</v>
      </c>
      <c r="L19" s="2">
        <f>+J19+L18-K19</f>
        <v>125680</v>
      </c>
    </row>
    <row r="20" spans="1:12" x14ac:dyDescent="0.25">
      <c r="A20" s="7">
        <v>46219</v>
      </c>
      <c r="B20" s="12">
        <f>+'[2]LIVREUR EXTERNE'!B$13</f>
        <v>0</v>
      </c>
      <c r="C20" s="12">
        <f>+'[2]LIVREUR EXTERNE'!C$13</f>
        <v>920</v>
      </c>
      <c r="D20" s="12">
        <f>+'[2]LIVREUR EXTERNE'!D$13</f>
        <v>500</v>
      </c>
      <c r="E20" s="12">
        <f>+'[2]LIVREUR EXTERNE'!E$13</f>
        <v>3</v>
      </c>
      <c r="F20" s="12">
        <f>+'[2]LIVREUR EXTERNE'!F$13</f>
        <v>0</v>
      </c>
      <c r="G20" s="12">
        <f>+'[2]LIVREUR EXTERNE'!G$13</f>
        <v>0</v>
      </c>
      <c r="H20" s="12">
        <f>+'[2]LIVREUR EXTERNE'!H$13</f>
        <v>0</v>
      </c>
      <c r="I20" s="12">
        <f>+'[2]LIVREUR EXTERNE'!I$13</f>
        <v>0</v>
      </c>
      <c r="J20" s="12">
        <f>+'[2]LIVREUR EXTERNE'!J$13</f>
        <v>119480</v>
      </c>
      <c r="K20" s="5">
        <f>+'[2]LIVREUR EXTERNE'!N$13</f>
        <v>300000</v>
      </c>
      <c r="L20" s="2">
        <v>0</v>
      </c>
    </row>
    <row r="21" spans="1:12" x14ac:dyDescent="0.25">
      <c r="A21" s="7">
        <v>46220</v>
      </c>
      <c r="B21" s="12">
        <f>+'[3]LIVREUR EXTERNE'!B$13</f>
        <v>637.5</v>
      </c>
      <c r="C21" s="12">
        <f>+'[3]LIVREUR EXTERNE'!C$13</f>
        <v>355</v>
      </c>
      <c r="D21" s="12">
        <f>+'[3]LIVREUR EXTERNE'!D$13</f>
        <v>450</v>
      </c>
      <c r="E21" s="12">
        <f>+'[3]LIVREUR EXTERNE'!E$13</f>
        <v>3</v>
      </c>
      <c r="F21" s="12">
        <f>+'[3]LIVREUR EXTERNE'!F$13</f>
        <v>0</v>
      </c>
      <c r="G21" s="12">
        <f>+'[3]LIVREUR EXTERNE'!G$13</f>
        <v>0</v>
      </c>
      <c r="H21" s="12">
        <f>+'[3]LIVREUR EXTERNE'!H$13</f>
        <v>0</v>
      </c>
      <c r="I21" s="12">
        <f>+'[3]LIVREUR EXTERNE'!I$13</f>
        <v>0</v>
      </c>
      <c r="J21" s="12">
        <f>+'[3]LIVREUR EXTERNE'!J$13</f>
        <v>97605</v>
      </c>
      <c r="K21" s="5">
        <f>+'[3]LIVREUR EXTERNE'!N$13</f>
        <v>0</v>
      </c>
      <c r="L21" s="2">
        <f>+J21+L20-K21</f>
        <v>97605</v>
      </c>
    </row>
    <row r="22" spans="1:12" x14ac:dyDescent="0.25">
      <c r="A22" s="7">
        <v>46221</v>
      </c>
      <c r="B22" s="12">
        <f>+'[4]LIVREUR EXTERNE'!B$13</f>
        <v>0</v>
      </c>
      <c r="C22" s="12">
        <f>+'[4]LIVREUR EXTERNE'!C$13</f>
        <v>915</v>
      </c>
      <c r="D22" s="12">
        <f>+'[4]LIVREUR EXTERNE'!D$13</f>
        <v>480</v>
      </c>
      <c r="E22" s="12">
        <f>+'[4]LIVREUR EXTERNE'!E$13</f>
        <v>3</v>
      </c>
      <c r="F22" s="12">
        <f>+'[4]LIVREUR EXTERNE'!F$13</f>
        <v>0</v>
      </c>
      <c r="G22" s="12">
        <f>+'[4]LIVREUR EXTERNE'!G$13</f>
        <v>0</v>
      </c>
      <c r="H22" s="12">
        <f>+'[4]LIVREUR EXTERNE'!H$13</f>
        <v>0</v>
      </c>
      <c r="I22" s="12">
        <f>+'[4]LIVREUR EXTERNE'!I$13</f>
        <v>0</v>
      </c>
      <c r="J22" s="12">
        <f>+'[4]LIVREUR EXTERNE'!J$13</f>
        <v>117105</v>
      </c>
      <c r="K22" s="5">
        <f>+'[4]LIVREUR EXTERNE'!N$13</f>
        <v>0</v>
      </c>
      <c r="L22" s="2">
        <f>+J22+L21-K22</f>
        <v>214710</v>
      </c>
    </row>
    <row r="23" spans="1:12" x14ac:dyDescent="0.25">
      <c r="A23" s="7">
        <v>46222</v>
      </c>
      <c r="B23" s="12">
        <f>+'[5]LIVREUR EXTERNE'!B$13</f>
        <v>1087.5</v>
      </c>
      <c r="C23" s="12">
        <f>+'[5]LIVREUR EXTERNE'!C$13</f>
        <v>0</v>
      </c>
      <c r="D23" s="12">
        <f>+'[5]LIVREUR EXTERNE'!D$13</f>
        <v>450</v>
      </c>
      <c r="E23" s="12">
        <f>+'[5]LIVREUR EXTERNE'!E$13</f>
        <v>3</v>
      </c>
      <c r="F23" s="12">
        <f>+'[5]LIVREUR EXTERNE'!F$13</f>
        <v>0</v>
      </c>
      <c r="G23" s="12">
        <f>+'[5]LIVREUR EXTERNE'!G$13</f>
        <v>0</v>
      </c>
      <c r="H23" s="12">
        <f>+'[5]LIVREUR EXTERNE'!H$13</f>
        <v>0</v>
      </c>
      <c r="I23" s="12">
        <f>+'[5]LIVREUR EXTERNE'!I$13</f>
        <v>0</v>
      </c>
      <c r="J23" s="12">
        <f>+'[5]LIVREUR EXTERNE'!J$13</f>
        <v>88980</v>
      </c>
      <c r="K23" s="5">
        <f>+'[5]LIVREUR EXTERNE'!N$13</f>
        <v>0</v>
      </c>
      <c r="L23" s="2">
        <f t="shared" si="0"/>
        <v>303690</v>
      </c>
    </row>
    <row r="24" spans="1:12" x14ac:dyDescent="0.25">
      <c r="A24" s="7">
        <v>46223</v>
      </c>
      <c r="B24" s="12">
        <f>+'[6]LIVREUR EXTERNE'!B$13</f>
        <v>825</v>
      </c>
      <c r="C24" s="12">
        <f>+'[6]LIVREUR EXTERNE'!C$13</f>
        <v>260</v>
      </c>
      <c r="D24" s="12">
        <f>+'[6]LIVREUR EXTERNE'!D$13</f>
        <v>550</v>
      </c>
      <c r="E24" s="12">
        <f>+'[6]LIVREUR EXTERNE'!E$13</f>
        <v>3</v>
      </c>
      <c r="F24" s="12">
        <f>+'[6]LIVREUR EXTERNE'!F$13</f>
        <v>0</v>
      </c>
      <c r="G24" s="12">
        <f>+'[6]LIVREUR EXTERNE'!G$13</f>
        <v>0</v>
      </c>
      <c r="H24" s="12">
        <f>+'[6]LIVREUR EXTERNE'!H$13</f>
        <v>0</v>
      </c>
      <c r="I24" s="12">
        <f>+'[6]LIVREUR EXTERNE'!I$13</f>
        <v>0</v>
      </c>
      <c r="J24" s="12">
        <f>+'[6]LIVREUR EXTERNE'!J$13</f>
        <v>107980</v>
      </c>
      <c r="K24" s="5">
        <f>+'[6]LIVREUR EXTERNE'!N$13</f>
        <v>275000</v>
      </c>
      <c r="L24" s="2">
        <f t="shared" si="0"/>
        <v>136670</v>
      </c>
    </row>
    <row r="25" spans="1:12" x14ac:dyDescent="0.25">
      <c r="A25" s="7">
        <v>46224</v>
      </c>
      <c r="B25" s="12">
        <f>+'[7]LIVREUR EXTERNE'!B$13</f>
        <v>0</v>
      </c>
      <c r="C25" s="12">
        <f>+'[7]LIVREUR EXTERNE'!C$13</f>
        <v>920</v>
      </c>
      <c r="D25" s="12">
        <f>+'[7]LIVREUR EXTERNE'!D$13</f>
        <v>500</v>
      </c>
      <c r="E25" s="12">
        <f>+'[7]LIVREUR EXTERNE'!E$13</f>
        <v>3</v>
      </c>
      <c r="F25" s="12">
        <f>+'[7]LIVREUR EXTERNE'!F$13</f>
        <v>0</v>
      </c>
      <c r="G25" s="12">
        <f>+'[7]LIVREUR EXTERNE'!G$13</f>
        <v>0</v>
      </c>
      <c r="H25" s="12">
        <f>+'[7]LIVREUR EXTERNE'!H$13</f>
        <v>0</v>
      </c>
      <c r="I25" s="12">
        <f>+'[7]LIVREUR EXTERNE'!I$13</f>
        <v>10</v>
      </c>
      <c r="J25" s="12">
        <f>+'[7]LIVREUR EXTERNE'!J$13</f>
        <v>120480</v>
      </c>
      <c r="K25" s="5">
        <f>+'[7]LIVREUR EXTERNE'!N$13</f>
        <v>229150</v>
      </c>
      <c r="L25" s="2">
        <f t="shared" si="0"/>
        <v>28000</v>
      </c>
    </row>
    <row r="26" spans="1:12" x14ac:dyDescent="0.25">
      <c r="A26" s="7">
        <v>46225</v>
      </c>
      <c r="B26" s="12">
        <f>+'[8]LIVREUR EXTERNE'!B$13</f>
        <v>0</v>
      </c>
      <c r="C26" s="12">
        <f>+'[8]LIVREUR EXTERNE'!C$13</f>
        <v>1000</v>
      </c>
      <c r="D26" s="12">
        <f>+'[8]LIVREUR EXTERNE'!D$13</f>
        <v>500</v>
      </c>
      <c r="E26" s="12">
        <f>+'[8]LIVREUR EXTERNE'!E$13</f>
        <v>3</v>
      </c>
      <c r="F26" s="12">
        <f>+'[8]LIVREUR EXTERNE'!F$13</f>
        <v>0</v>
      </c>
      <c r="G26" s="12">
        <f>+'[8]LIVREUR EXTERNE'!G$13</f>
        <v>0</v>
      </c>
      <c r="H26" s="12">
        <f>+'[8]LIVREUR EXTERNE'!H$13</f>
        <v>0</v>
      </c>
      <c r="I26" s="12">
        <f>+'[8]LIVREUR EXTERNE'!I$13</f>
        <v>0</v>
      </c>
      <c r="J26" s="12">
        <f>+'[8]LIVREUR EXTERNE'!J$13</f>
        <v>125480</v>
      </c>
      <c r="K26" s="5">
        <f>+'[8]LIVREUR EXTERNE'!N$13</f>
        <v>0</v>
      </c>
      <c r="L26" s="2">
        <f t="shared" si="0"/>
        <v>153480</v>
      </c>
    </row>
    <row r="27" spans="1:12" x14ac:dyDescent="0.25">
      <c r="A27" s="7">
        <v>46226</v>
      </c>
      <c r="B27" s="12">
        <f>+'[9]LIVREUR EXTERNE'!B$13</f>
        <v>0</v>
      </c>
      <c r="C27" s="12">
        <f>+'[9]LIVREUR EXTERNE'!C$13</f>
        <v>965</v>
      </c>
      <c r="D27" s="12">
        <f>+'[9]LIVREUR EXTERNE'!D$13</f>
        <v>500</v>
      </c>
      <c r="E27" s="12">
        <f>+'[9]LIVREUR EXTERNE'!E$13</f>
        <v>3</v>
      </c>
      <c r="F27" s="12">
        <f>+'[9]LIVREUR EXTERNE'!F$13</f>
        <v>0</v>
      </c>
      <c r="G27" s="12">
        <f>+'[9]LIVREUR EXTERNE'!G$13</f>
        <v>0</v>
      </c>
      <c r="H27" s="12">
        <f>+'[9]LIVREUR EXTERNE'!H$13</f>
        <v>0</v>
      </c>
      <c r="I27" s="12">
        <f>+'[9]LIVREUR EXTERNE'!I$13</f>
        <v>10</v>
      </c>
      <c r="J27" s="12">
        <f>+'[9]LIVREUR EXTERNE'!J$13</f>
        <v>123855</v>
      </c>
      <c r="K27" s="5">
        <f>+'[9]LIVREUR EXTERNE'!N$13</f>
        <v>0</v>
      </c>
      <c r="L27" s="2">
        <f t="shared" si="0"/>
        <v>277335</v>
      </c>
    </row>
    <row r="28" spans="1:12" x14ac:dyDescent="0.25">
      <c r="A28" s="7">
        <v>46227</v>
      </c>
      <c r="B28" s="12">
        <f>+'[10]LIVREUR EXTERNE'!B$13</f>
        <v>0</v>
      </c>
      <c r="C28" s="12">
        <f>+'[10]LIVREUR EXTERNE'!C$13</f>
        <v>820</v>
      </c>
      <c r="D28" s="12">
        <f>+'[10]LIVREUR EXTERNE'!D$13</f>
        <v>500</v>
      </c>
      <c r="E28" s="12">
        <f>+'[10]LIVREUR EXTERNE'!E$13</f>
        <v>3</v>
      </c>
      <c r="F28" s="12">
        <f>+'[10]LIVREUR EXTERNE'!F$13</f>
        <v>0</v>
      </c>
      <c r="G28" s="12">
        <f>+'[10]LIVREUR EXTERNE'!G$13</f>
        <v>0</v>
      </c>
      <c r="H28" s="12">
        <f>+'[10]LIVREUR EXTERNE'!H$13</f>
        <v>0</v>
      </c>
      <c r="I28" s="12">
        <f>+'[10]LIVREUR EXTERNE'!I$13</f>
        <v>0</v>
      </c>
      <c r="J28" s="12">
        <f>+'[10]LIVREUR EXTERNE'!J$13</f>
        <v>111980</v>
      </c>
      <c r="K28" s="5">
        <f>+'[10]LIVREUR EXTERNE'!N$13</f>
        <v>0</v>
      </c>
      <c r="L28" s="2">
        <f t="shared" si="0"/>
        <v>389315</v>
      </c>
    </row>
    <row r="29" spans="1:12" x14ac:dyDescent="0.25">
      <c r="A29" s="7">
        <v>46228</v>
      </c>
      <c r="B29" s="12">
        <f>+'[11]LIVREUR EXTERNE'!B$13</f>
        <v>0</v>
      </c>
      <c r="C29" s="12">
        <f>+'[11]LIVREUR EXTERNE'!C$13</f>
        <v>820</v>
      </c>
      <c r="D29" s="12">
        <f>+'[11]LIVREUR EXTERNE'!D$13</f>
        <v>500</v>
      </c>
      <c r="E29" s="12">
        <f>+'[11]LIVREUR EXTERNE'!E$13</f>
        <v>0</v>
      </c>
      <c r="F29" s="12">
        <f>+'[11]LIVREUR EXTERNE'!F$13</f>
        <v>0</v>
      </c>
      <c r="G29" s="12">
        <f>+'[11]LIVREUR EXTERNE'!G$13</f>
        <v>0</v>
      </c>
      <c r="H29" s="12">
        <f>+'[11]LIVREUR EXTERNE'!H$13</f>
        <v>0</v>
      </c>
      <c r="I29" s="12">
        <f>+'[11]LIVREUR EXTERNE'!I$13</f>
        <v>30</v>
      </c>
      <c r="J29" s="12">
        <f>+'[11]LIVREUR EXTERNE'!J$13</f>
        <v>114500</v>
      </c>
      <c r="K29" s="5">
        <f>+'[11]LIVREUR EXTERNE'!N$13</f>
        <v>325000</v>
      </c>
      <c r="L29" s="2">
        <f t="shared" si="0"/>
        <v>178815</v>
      </c>
    </row>
    <row r="30" spans="1:12" x14ac:dyDescent="0.25">
      <c r="A30" s="7">
        <v>46229</v>
      </c>
      <c r="B30" s="12">
        <f>+'[12]LIVREUR EXTERNE'!B$13</f>
        <v>937.5</v>
      </c>
      <c r="C30" s="12">
        <f>+'[12]LIVREUR EXTERNE'!C$13</f>
        <v>25</v>
      </c>
      <c r="D30" s="12">
        <f>+'[12]LIVREUR EXTERNE'!D$13</f>
        <v>400</v>
      </c>
      <c r="E30" s="12">
        <f>+'[12]LIVREUR EXTERNE'!E$13</f>
        <v>0</v>
      </c>
      <c r="F30" s="12">
        <f>+'[12]LIVREUR EXTERNE'!F$13</f>
        <v>0</v>
      </c>
      <c r="G30" s="12">
        <f>+'[12]LIVREUR EXTERNE'!G$13</f>
        <v>0</v>
      </c>
      <c r="H30" s="12">
        <f>+'[12]LIVREUR EXTERNE'!H$13</f>
        <v>0</v>
      </c>
      <c r="I30" s="12">
        <f>+'[12]LIVREUR EXTERNE'!I$13</f>
        <v>0</v>
      </c>
      <c r="J30" s="12">
        <f>+'[12]LIVREUR EXTERNE'!J$13</f>
        <v>79375</v>
      </c>
      <c r="K30" s="5">
        <f>+'[12]LIVREUR EXTERNE'!N$13</f>
        <v>0</v>
      </c>
      <c r="L30" s="2">
        <f t="shared" si="0"/>
        <v>258190</v>
      </c>
    </row>
    <row r="31" spans="1:12" x14ac:dyDescent="0.25">
      <c r="A31" s="7">
        <v>46230</v>
      </c>
      <c r="B31" s="12">
        <f>+'[13]LIVREUR EXTERNE'!B$13</f>
        <v>900</v>
      </c>
      <c r="C31" s="12">
        <f>+'[13]LIVREUR EXTERNE'!C$13</f>
        <v>15</v>
      </c>
      <c r="D31" s="12">
        <f>+'[13]LIVREUR EXTERNE'!D$13</f>
        <v>500</v>
      </c>
      <c r="E31" s="12">
        <f>+'[13]LIVREUR EXTERNE'!E$13</f>
        <v>3</v>
      </c>
      <c r="F31" s="12">
        <f>+'[13]LIVREUR EXTERNE'!F$13</f>
        <v>0</v>
      </c>
      <c r="G31" s="12">
        <f>+'[13]LIVREUR EXTERNE'!F$13</f>
        <v>0</v>
      </c>
      <c r="H31" s="12">
        <f>+'[13]LIVREUR EXTERNE'!G$13</f>
        <v>0</v>
      </c>
      <c r="I31" s="12">
        <f>+'[13]LIVREUR EXTERNE'!H$13</f>
        <v>0</v>
      </c>
      <c r="J31" s="12">
        <f>+'[13]LIVREUR EXTERNE'!J$13</f>
        <v>87605</v>
      </c>
      <c r="K31" s="5">
        <f>+'[13]LIVREUR EXTERNE'!N$13</f>
        <v>0</v>
      </c>
      <c r="L31" s="2">
        <f t="shared" si="0"/>
        <v>345795</v>
      </c>
    </row>
    <row r="32" spans="1:12" x14ac:dyDescent="0.25">
      <c r="A32" s="7">
        <v>46231</v>
      </c>
      <c r="B32" s="12">
        <f>+'[14]LIVREUR EXTERNE'!B$13</f>
        <v>0</v>
      </c>
      <c r="C32" s="12">
        <f>+'[14]LIVREUR EXTERNE'!C$13</f>
        <v>850</v>
      </c>
      <c r="D32" s="12">
        <f>+'[14]LIVREUR EXTERNE'!D$13</f>
        <v>450</v>
      </c>
      <c r="E32" s="12">
        <f>+'[14]LIVREUR EXTERNE'!E$13</f>
        <v>3</v>
      </c>
      <c r="F32" s="12">
        <f>+'[14]LIVREUR EXTERNE'!F$13</f>
        <v>0</v>
      </c>
      <c r="G32" s="12">
        <f>+'[14]LIVREUR EXTERNE'!G$13</f>
        <v>0</v>
      </c>
      <c r="H32" s="12">
        <f>+'[14]LIVREUR EXTERNE'!H$13</f>
        <v>0</v>
      </c>
      <c r="I32" s="12">
        <f>+'[14]LIVREUR EXTERNE'!I$13</f>
        <v>0</v>
      </c>
      <c r="J32" s="12">
        <f>+'[14]LIVREUR EXTERNE'!J$13</f>
        <v>109230</v>
      </c>
      <c r="K32" s="5">
        <f>+'[14]LIVREUR EXTERNE'!N$13</f>
        <v>0</v>
      </c>
      <c r="L32" s="2">
        <f t="shared" si="0"/>
        <v>455025</v>
      </c>
    </row>
    <row r="33" spans="1:12" x14ac:dyDescent="0.25">
      <c r="A33" s="7">
        <v>46232</v>
      </c>
      <c r="B33" s="12">
        <f>+'[15]LIVREUR EXTERNE'!B$13</f>
        <v>0</v>
      </c>
      <c r="C33" s="12">
        <f>+'[15]LIVREUR EXTERNE'!C$13</f>
        <v>965</v>
      </c>
      <c r="D33" s="12">
        <f>+'[15]LIVREUR EXTERNE'!D$13</f>
        <v>500</v>
      </c>
      <c r="E33" s="12">
        <f>+'[15]LIVREUR EXTERNE'!E$13</f>
        <v>3</v>
      </c>
      <c r="F33" s="12">
        <f>+'[15]LIVREUR EXTERNE'!F$13</f>
        <v>0</v>
      </c>
      <c r="G33" s="12">
        <f>+'[15]LIVREUR EXTERNE'!G$13</f>
        <v>0</v>
      </c>
      <c r="H33" s="12">
        <f>+'[15]LIVREUR EXTERNE'!H$13</f>
        <v>0</v>
      </c>
      <c r="I33" s="12">
        <f>+'[15]LIVREUR EXTERNE'!I$13</f>
        <v>0</v>
      </c>
      <c r="J33" s="12">
        <f>+'[15]LIVREUR EXTERNE'!J$13</f>
        <v>122855</v>
      </c>
      <c r="K33" s="5">
        <f>+'[15]LIVREUR EXTERNE'!N$13</f>
        <v>360000</v>
      </c>
      <c r="L33" s="2">
        <f t="shared" si="0"/>
        <v>217880</v>
      </c>
    </row>
    <row r="34" spans="1:12" x14ac:dyDescent="0.25">
      <c r="A34" s="7">
        <v>46233</v>
      </c>
      <c r="B34" s="12">
        <f>+'[16]LIVREUR EXTERNE'!B$13</f>
        <v>0</v>
      </c>
      <c r="C34" s="12">
        <f>+'[16]LIVREUR EXTERNE'!C$13</f>
        <v>920</v>
      </c>
      <c r="D34" s="12">
        <f>+'[16]LIVREUR EXTERNE'!D$13</f>
        <v>500</v>
      </c>
      <c r="E34" s="12">
        <f>+'[16]LIVREUR EXTERNE'!E$13</f>
        <v>0</v>
      </c>
      <c r="F34" s="12">
        <f>+'[16]LIVREUR EXTERNE'!F$13</f>
        <v>0</v>
      </c>
      <c r="G34" s="12">
        <f>+'[16]LIVREUR EXTERNE'!G$13</f>
        <v>0</v>
      </c>
      <c r="H34" s="12">
        <f>+'[16]LIVREUR EXTERNE'!H$13</f>
        <v>0</v>
      </c>
      <c r="I34" s="12">
        <f>+'[16]LIVREUR EXTERNE'!I$13</f>
        <v>0</v>
      </c>
      <c r="J34" s="12">
        <f>+'[16]LIVREUR EXTERNE'!J$13</f>
        <v>119000</v>
      </c>
      <c r="K34" s="5">
        <f>+'[16]LIVREUR EXTERNE'!N$13</f>
        <v>0</v>
      </c>
      <c r="L34" s="2">
        <f t="shared" si="0"/>
        <v>336880</v>
      </c>
    </row>
    <row r="35" spans="1:12" x14ac:dyDescent="0.25">
      <c r="A35" s="7">
        <v>46234</v>
      </c>
      <c r="B35" s="12">
        <f>+'[17]LIVREUR EXTERNE'!B$13</f>
        <v>0</v>
      </c>
      <c r="C35" s="12">
        <f>+'[17]LIVREUR EXTERNE'!C$13</f>
        <v>975</v>
      </c>
      <c r="D35" s="12">
        <f>+'[17]LIVREUR EXTERNE'!D$13</f>
        <v>500</v>
      </c>
      <c r="E35" s="12">
        <f>+'[17]LIVREUR EXTERNE'!E$13</f>
        <v>0</v>
      </c>
      <c r="F35" s="12">
        <f>+'[17]LIVREUR EXTERNE'!F$13</f>
        <v>0</v>
      </c>
      <c r="G35" s="12">
        <f>+'[17]LIVREUR EXTERNE'!G$13</f>
        <v>0</v>
      </c>
      <c r="H35" s="12">
        <f>+'[17]LIVREUR EXTERNE'!H$13</f>
        <v>0</v>
      </c>
      <c r="I35" s="12">
        <f>+'[17]LIVREUR EXTERNE'!I$13</f>
        <v>0</v>
      </c>
      <c r="J35" s="12">
        <f>+'[17]LIVREUR EXTERNE'!J$13</f>
        <v>123125</v>
      </c>
      <c r="K35" s="5">
        <f>+'[17]LIVREUR EXTERNE'!N$13</f>
        <v>250000</v>
      </c>
      <c r="L35" s="2">
        <f t="shared" si="0"/>
        <v>210005</v>
      </c>
    </row>
    <row r="36" spans="1:12" x14ac:dyDescent="0.25">
      <c r="A36" s="8" t="s">
        <v>13</v>
      </c>
      <c r="B36" s="11">
        <f>+SUM(B4:B35)</f>
        <v>4387.5</v>
      </c>
      <c r="C36" s="11">
        <f t="shared" ref="C36:K36" si="1">+SUM(C4:C35)</f>
        <v>11665</v>
      </c>
      <c r="D36" s="11">
        <f t="shared" si="1"/>
        <v>8280</v>
      </c>
      <c r="E36" s="11">
        <f t="shared" si="1"/>
        <v>39</v>
      </c>
      <c r="F36" s="11">
        <f t="shared" si="1"/>
        <v>0</v>
      </c>
      <c r="G36" s="11">
        <f t="shared" si="1"/>
        <v>0</v>
      </c>
      <c r="H36" s="11">
        <f t="shared" si="1"/>
        <v>0</v>
      </c>
      <c r="I36" s="11">
        <f t="shared" si="1"/>
        <v>50</v>
      </c>
      <c r="J36" s="11">
        <f t="shared" si="1"/>
        <v>1894315</v>
      </c>
      <c r="K36" s="9">
        <f t="shared" si="1"/>
        <v>1739150</v>
      </c>
      <c r="L36" s="9">
        <f>+K36-J36</f>
        <v>-155165</v>
      </c>
    </row>
  </sheetData>
  <mergeCells count="6">
    <mergeCell ref="L2:L3"/>
    <mergeCell ref="A1:I1"/>
    <mergeCell ref="A2:A3"/>
    <mergeCell ref="B2:G2"/>
    <mergeCell ref="J2:J3"/>
    <mergeCell ref="K2:K3"/>
  </mergeCells>
  <pageMargins left="1.42" right="0" top="0.64" bottom="0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DOUGLAS</vt:lpstr>
      <vt:lpstr>MOUSTAPHA</vt:lpstr>
      <vt:lpstr>TEDONFO</vt:lpstr>
      <vt:lpstr>OUMAROU</vt:lpstr>
      <vt:lpstr>RODRIGUE</vt:lpstr>
      <vt:lpstr>ROMEO</vt:lpstr>
      <vt:lpstr>SALAS</vt:lpstr>
      <vt:lpstr>TCHOUPO</vt:lpstr>
      <vt:lpstr>FIDELIS</vt:lpstr>
      <vt:lpstr>HERVE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PEUPLE HEAD OFFICE</dc:creator>
  <cp:lastModifiedBy>MBELECK</cp:lastModifiedBy>
  <cp:lastPrinted>2026-08-12T10:19:55Z</cp:lastPrinted>
  <dcterms:created xsi:type="dcterms:W3CDTF">2026-07-15T18:12:28Z</dcterms:created>
  <dcterms:modified xsi:type="dcterms:W3CDTF">2026-08-12T17:21:57Z</dcterms:modified>
</cp:coreProperties>
</file>