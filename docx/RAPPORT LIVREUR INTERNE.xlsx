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 activeTab="8"/>
  </bookViews>
  <sheets>
    <sheet name="AWE" sheetId="1" r:id="rId1"/>
    <sheet name="CHRISTIAN" sheetId="2" r:id="rId2"/>
    <sheet name="COLLINS" sheetId="3" r:id="rId3"/>
    <sheet name="MELI" sheetId="4" r:id="rId4"/>
    <sheet name="LEPAMOU" sheetId="5" r:id="rId5"/>
    <sheet name="LUCAS" sheetId="6" r:id="rId6"/>
    <sheet name="THEOPHILE" sheetId="7" r:id="rId7"/>
    <sheet name="OLOMO" sheetId="8" r:id="rId8"/>
    <sheet name="LANDRY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9" l="1"/>
  <c r="M36" i="9"/>
  <c r="L36" i="9"/>
  <c r="K36" i="9"/>
  <c r="J36" i="9"/>
  <c r="I36" i="9"/>
  <c r="H36" i="9"/>
  <c r="G36" i="9"/>
  <c r="F36" i="9"/>
  <c r="E36" i="9"/>
  <c r="D36" i="9"/>
  <c r="C36" i="9"/>
  <c r="B36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N21" i="9"/>
  <c r="M21" i="9"/>
  <c r="L21" i="9"/>
  <c r="L37" i="9" s="1"/>
  <c r="K21" i="9"/>
  <c r="K37" i="9" s="1"/>
  <c r="J21" i="9"/>
  <c r="J37" i="9" s="1"/>
  <c r="I21" i="9"/>
  <c r="I37" i="9" s="1"/>
  <c r="H21" i="9"/>
  <c r="H37" i="9" s="1"/>
  <c r="G21" i="9"/>
  <c r="F21" i="9"/>
  <c r="E21" i="9"/>
  <c r="D21" i="9"/>
  <c r="D37" i="9" s="1"/>
  <c r="C21" i="9"/>
  <c r="C37" i="9" s="1"/>
  <c r="B21" i="9"/>
  <c r="B37" i="9" s="1"/>
  <c r="N20" i="9"/>
  <c r="N37" i="9" s="1"/>
  <c r="M20" i="9"/>
  <c r="M37" i="9" s="1"/>
  <c r="O37" i="9" s="1"/>
  <c r="L20" i="9"/>
  <c r="K20" i="9"/>
  <c r="J20" i="9"/>
  <c r="I20" i="9"/>
  <c r="H20" i="9"/>
  <c r="G20" i="9"/>
  <c r="G37" i="9" s="1"/>
  <c r="F20" i="9"/>
  <c r="F37" i="9" s="1"/>
  <c r="E20" i="9"/>
  <c r="E37" i="9" s="1"/>
  <c r="D20" i="9"/>
  <c r="C20" i="9"/>
  <c r="B20" i="9"/>
  <c r="O6" i="9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1" i="9" l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20" i="9"/>
  <c r="C26" i="8"/>
  <c r="D26" i="8"/>
  <c r="E26" i="8"/>
  <c r="F26" i="8"/>
  <c r="G26" i="8"/>
  <c r="H26" i="8"/>
  <c r="I26" i="8"/>
  <c r="J26" i="8"/>
  <c r="K26" i="8"/>
  <c r="L26" i="8"/>
  <c r="M26" i="8"/>
  <c r="B26" i="8"/>
  <c r="C25" i="8"/>
  <c r="D25" i="8"/>
  <c r="E25" i="8"/>
  <c r="F25" i="8"/>
  <c r="G25" i="8"/>
  <c r="H25" i="8"/>
  <c r="I25" i="8"/>
  <c r="J25" i="8"/>
  <c r="K25" i="8"/>
  <c r="L25" i="8"/>
  <c r="M25" i="8"/>
  <c r="B25" i="8"/>
  <c r="C24" i="8"/>
  <c r="D24" i="8"/>
  <c r="E24" i="8"/>
  <c r="F24" i="8"/>
  <c r="G24" i="8"/>
  <c r="H24" i="8"/>
  <c r="I24" i="8"/>
  <c r="J24" i="8"/>
  <c r="K24" i="8"/>
  <c r="L24" i="8"/>
  <c r="M24" i="8"/>
  <c r="B24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N22" i="8"/>
  <c r="C22" i="8"/>
  <c r="D22" i="8"/>
  <c r="E22" i="8"/>
  <c r="F22" i="8"/>
  <c r="G22" i="8"/>
  <c r="H22" i="8"/>
  <c r="I22" i="8"/>
  <c r="J22" i="8"/>
  <c r="K22" i="8"/>
  <c r="L22" i="8"/>
  <c r="M22" i="8"/>
  <c r="B22" i="8"/>
  <c r="N21" i="8"/>
  <c r="C21" i="8"/>
  <c r="D21" i="8"/>
  <c r="E21" i="8"/>
  <c r="F21" i="8"/>
  <c r="G21" i="8"/>
  <c r="H21" i="8"/>
  <c r="I21" i="8"/>
  <c r="J21" i="8"/>
  <c r="K21" i="8"/>
  <c r="L21" i="8"/>
  <c r="M21" i="8"/>
  <c r="B21" i="8"/>
  <c r="L37" i="8"/>
  <c r="N24" i="8"/>
  <c r="N25" i="8"/>
  <c r="N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7" i="8"/>
  <c r="O8" i="8"/>
  <c r="O9" i="8"/>
  <c r="O10" i="8"/>
  <c r="O11" i="8" s="1"/>
  <c r="O12" i="8" s="1"/>
  <c r="O13" i="8" s="1"/>
  <c r="O14" i="8" s="1"/>
  <c r="O15" i="8" s="1"/>
  <c r="O16" i="8" s="1"/>
  <c r="O17" i="8" s="1"/>
  <c r="O18" i="8" s="1"/>
  <c r="O19" i="8" s="1"/>
  <c r="O6" i="8"/>
  <c r="N20" i="8"/>
  <c r="C20" i="8"/>
  <c r="D20" i="8"/>
  <c r="E20" i="8"/>
  <c r="F20" i="8"/>
  <c r="G20" i="8"/>
  <c r="H20" i="8"/>
  <c r="I20" i="8"/>
  <c r="J20" i="8"/>
  <c r="K20" i="8"/>
  <c r="L20" i="8"/>
  <c r="M20" i="8"/>
  <c r="B20" i="8"/>
  <c r="N19" i="7"/>
  <c r="C19" i="7"/>
  <c r="D19" i="7"/>
  <c r="E19" i="7"/>
  <c r="F19" i="7"/>
  <c r="G19" i="7"/>
  <c r="H19" i="7"/>
  <c r="I19" i="7"/>
  <c r="I36" i="7" s="1"/>
  <c r="J19" i="7"/>
  <c r="J36" i="7" s="1"/>
  <c r="K19" i="7"/>
  <c r="K36" i="7" s="1"/>
  <c r="L19" i="7"/>
  <c r="L36" i="7" s="1"/>
  <c r="M19" i="7"/>
  <c r="M36" i="7" s="1"/>
  <c r="B19" i="7"/>
  <c r="B36" i="7" s="1"/>
  <c r="N19" i="6"/>
  <c r="C19" i="6"/>
  <c r="C36" i="6" s="1"/>
  <c r="D19" i="6"/>
  <c r="E19" i="6"/>
  <c r="E36" i="6" s="1"/>
  <c r="F19" i="6"/>
  <c r="F36" i="6" s="1"/>
  <c r="G19" i="6"/>
  <c r="G36" i="6" s="1"/>
  <c r="H19" i="6"/>
  <c r="H36" i="6" s="1"/>
  <c r="I19" i="6"/>
  <c r="I36" i="6" s="1"/>
  <c r="J19" i="6"/>
  <c r="J36" i="6" s="1"/>
  <c r="K19" i="6"/>
  <c r="K36" i="6" s="1"/>
  <c r="L19" i="6"/>
  <c r="L36" i="6" s="1"/>
  <c r="M19" i="6"/>
  <c r="M36" i="6" s="1"/>
  <c r="B19" i="6"/>
  <c r="B36" i="6" s="1"/>
  <c r="N19" i="5"/>
  <c r="C19" i="5"/>
  <c r="C36" i="5" s="1"/>
  <c r="D19" i="5"/>
  <c r="D36" i="5" s="1"/>
  <c r="E19" i="5"/>
  <c r="E36" i="5" s="1"/>
  <c r="F19" i="5"/>
  <c r="F36" i="5" s="1"/>
  <c r="G19" i="5"/>
  <c r="G36" i="5" s="1"/>
  <c r="H19" i="5"/>
  <c r="H36" i="5" s="1"/>
  <c r="I19" i="5"/>
  <c r="I36" i="5" s="1"/>
  <c r="J19" i="5"/>
  <c r="J36" i="5" s="1"/>
  <c r="K19" i="5"/>
  <c r="K36" i="5" s="1"/>
  <c r="L19" i="5"/>
  <c r="L36" i="5" s="1"/>
  <c r="M19" i="5"/>
  <c r="M36" i="5" s="1"/>
  <c r="B19" i="5"/>
  <c r="B36" i="5" s="1"/>
  <c r="N19" i="4"/>
  <c r="C19" i="4"/>
  <c r="C36" i="4" s="1"/>
  <c r="D19" i="4"/>
  <c r="E19" i="4"/>
  <c r="F19" i="4"/>
  <c r="G19" i="4"/>
  <c r="H19" i="4"/>
  <c r="I19" i="4"/>
  <c r="J19" i="4"/>
  <c r="K19" i="4"/>
  <c r="L19" i="4"/>
  <c r="M19" i="4"/>
  <c r="B19" i="4"/>
  <c r="B36" i="4" s="1"/>
  <c r="N19" i="3"/>
  <c r="C19" i="3"/>
  <c r="C36" i="3" s="1"/>
  <c r="D19" i="3"/>
  <c r="D36" i="3" s="1"/>
  <c r="E19" i="3"/>
  <c r="E36" i="3" s="1"/>
  <c r="F19" i="3"/>
  <c r="F36" i="3" s="1"/>
  <c r="G19" i="3"/>
  <c r="G36" i="3" s="1"/>
  <c r="H19" i="3"/>
  <c r="H36" i="3" s="1"/>
  <c r="I19" i="3"/>
  <c r="I36" i="3" s="1"/>
  <c r="J19" i="3"/>
  <c r="J36" i="3" s="1"/>
  <c r="K19" i="3"/>
  <c r="K36" i="3" s="1"/>
  <c r="L19" i="3"/>
  <c r="L36" i="3" s="1"/>
  <c r="M19" i="3"/>
  <c r="M36" i="3" s="1"/>
  <c r="B19" i="3"/>
  <c r="B36" i="3" s="1"/>
  <c r="N19" i="2"/>
  <c r="C19" i="2"/>
  <c r="C36" i="2" s="1"/>
  <c r="D19" i="2"/>
  <c r="D36" i="2" s="1"/>
  <c r="E19" i="2"/>
  <c r="E36" i="2" s="1"/>
  <c r="F19" i="2"/>
  <c r="F36" i="2" s="1"/>
  <c r="G19" i="2"/>
  <c r="G36" i="2" s="1"/>
  <c r="H19" i="2"/>
  <c r="H36" i="2" s="1"/>
  <c r="I19" i="2"/>
  <c r="I36" i="2" s="1"/>
  <c r="J19" i="2"/>
  <c r="J36" i="2" s="1"/>
  <c r="K19" i="2"/>
  <c r="K36" i="2" s="1"/>
  <c r="L19" i="2"/>
  <c r="L36" i="2" s="1"/>
  <c r="M19" i="2"/>
  <c r="M36" i="2" s="1"/>
  <c r="B19" i="2"/>
  <c r="B36" i="2" s="1"/>
  <c r="H36" i="7"/>
  <c r="G36" i="7"/>
  <c r="F36" i="7"/>
  <c r="E36" i="7"/>
  <c r="D36" i="7"/>
  <c r="C36" i="7"/>
  <c r="O5" i="7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D36" i="6"/>
  <c r="O5" i="6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5" i="5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M36" i="4"/>
  <c r="L36" i="4"/>
  <c r="K36" i="4"/>
  <c r="J36" i="4"/>
  <c r="I36" i="4"/>
  <c r="H36" i="4"/>
  <c r="G36" i="4"/>
  <c r="F36" i="4"/>
  <c r="E36" i="4"/>
  <c r="D36" i="4"/>
  <c r="O5" i="4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5" i="3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5" i="2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N19" i="1"/>
  <c r="N36" i="1" s="1"/>
  <c r="C19" i="1"/>
  <c r="C36" i="1" s="1"/>
  <c r="D19" i="1"/>
  <c r="D36" i="1" s="1"/>
  <c r="E19" i="1"/>
  <c r="E36" i="1" s="1"/>
  <c r="F19" i="1"/>
  <c r="F36" i="1" s="1"/>
  <c r="G19" i="1"/>
  <c r="G36" i="1" s="1"/>
  <c r="H19" i="1"/>
  <c r="H36" i="1" s="1"/>
  <c r="I19" i="1"/>
  <c r="I36" i="1" s="1"/>
  <c r="J19" i="1"/>
  <c r="J36" i="1" s="1"/>
  <c r="K19" i="1"/>
  <c r="K36" i="1" s="1"/>
  <c r="L19" i="1"/>
  <c r="L36" i="1" s="1"/>
  <c r="M19" i="1"/>
  <c r="M36" i="1" s="1"/>
  <c r="B19" i="1"/>
  <c r="B36" i="1" s="1"/>
  <c r="N37" i="8" l="1"/>
  <c r="C37" i="8"/>
  <c r="D37" i="8"/>
  <c r="E37" i="8"/>
  <c r="F37" i="8"/>
  <c r="G37" i="8"/>
  <c r="H37" i="8"/>
  <c r="I37" i="8"/>
  <c r="J37" i="8"/>
  <c r="K37" i="8"/>
  <c r="M37" i="8"/>
  <c r="B37" i="8"/>
  <c r="O19" i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20" i="8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N36" i="7"/>
  <c r="O36" i="7" s="1"/>
  <c r="O19" i="7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19" i="6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N36" i="6"/>
  <c r="O36" i="6" s="1"/>
  <c r="O19" i="5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N36" i="5"/>
  <c r="O36" i="5" s="1"/>
  <c r="N36" i="4"/>
  <c r="O36" i="4" s="1"/>
  <c r="O19" i="4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N36" i="3"/>
  <c r="O36" i="3" s="1"/>
  <c r="O19" i="3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N36" i="2"/>
  <c r="O36" i="2" s="1"/>
  <c r="O19" i="2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1"/>
  <c r="O37" i="8" l="1"/>
</calcChain>
</file>

<file path=xl/sharedStrings.xml><?xml version="1.0" encoding="utf-8"?>
<sst xmlns="http://schemas.openxmlformats.org/spreadsheetml/2006/main" count="129" uniqueCount="28">
  <si>
    <t>NOM LIVREUR</t>
  </si>
  <si>
    <t>TYPE DE PAIN NUIT</t>
  </si>
  <si>
    <t>TYPE DE PAIN JOUR</t>
  </si>
  <si>
    <t>PJ</t>
  </si>
  <si>
    <t>S.VIDE</t>
  </si>
  <si>
    <t>FACTURE</t>
  </si>
  <si>
    <t>EXTRA</t>
  </si>
  <si>
    <t>VERSEMENT</t>
  </si>
  <si>
    <t>SOLDE</t>
  </si>
  <si>
    <t>REPORT SOLDE</t>
  </si>
  <si>
    <t>TOTAL</t>
  </si>
  <si>
    <t>ETAT MENSUEL DE LIVRAISON</t>
  </si>
  <si>
    <t>AWE</t>
  </si>
  <si>
    <t>CHRISTIAN</t>
  </si>
  <si>
    <t>COLLINS</t>
  </si>
  <si>
    <t>LEPAMOU</t>
  </si>
  <si>
    <t>LUCAS</t>
  </si>
  <si>
    <t>THEOPHILE</t>
  </si>
  <si>
    <t xml:space="preserve">JUNIOR </t>
  </si>
  <si>
    <t>PAIN
500</t>
  </si>
  <si>
    <t>PAIN</t>
  </si>
  <si>
    <t>CMD</t>
  </si>
  <si>
    <t>B</t>
  </si>
  <si>
    <t>CQ</t>
  </si>
  <si>
    <t>DATE</t>
  </si>
  <si>
    <t>SODLE</t>
  </si>
  <si>
    <t>OLOMO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</si>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</sst>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indexed="8"/>
      <name val="Aptos Narrow"/>
      <family val="2"/>
      <scheme val="minor"/>
    </font>
    <font>
      <b/>
      <sz val="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165" fontId="3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/>
    <xf numFmtId="0" fontId="5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65" fontId="0" fillId="0" borderId="1" xfId="1" applyNumberFormat="1" applyFont="1" applyBorder="1"/>
    <xf numFmtId="0" fontId="2" fillId="0" borderId="1" xfId="0" applyFont="1" applyBorder="1"/>
    <xf numFmtId="165" fontId="2" fillId="0" borderId="1" xfId="1" applyNumberFormat="1" applyFont="1" applyBorder="1"/>
    <xf numFmtId="0" fontId="2" fillId="0" borderId="0" xfId="0" applyFont="1"/>
    <xf numFmtId="17" fontId="2" fillId="0" borderId="1" xfId="1" applyNumberFormat="1" applyFont="1" applyBorder="1"/>
    <xf numFmtId="0" fontId="6" fillId="0" borderId="0" xfId="0" applyFont="1"/>
    <xf numFmtId="17" fontId="6" fillId="0" borderId="1" xfId="1" applyNumberFormat="1" applyFont="1" applyBorder="1"/>
    <xf numFmtId="165" fontId="7" fillId="0" borderId="1" xfId="1" applyNumberFormat="1" applyFont="1" applyBorder="1"/>
    <xf numFmtId="165" fontId="3" fillId="0" borderId="1" xfId="1" applyNumberFormat="1" applyFont="1" applyBorder="1"/>
    <xf numFmtId="165" fontId="8" fillId="0" borderId="1" xfId="1" applyNumberFormat="1" applyFont="1" applyBorder="1"/>
    <xf numFmtId="165" fontId="8" fillId="0" borderId="0" xfId="1" applyNumberFormat="1" applyFont="1"/>
    <xf numFmtId="0" fontId="8" fillId="0" borderId="0" xfId="0" applyFont="1"/>
    <xf numFmtId="165" fontId="9" fillId="0" borderId="1" xfId="1" applyNumberFormat="1" applyFont="1" applyBorder="1"/>
    <xf numFmtId="165" fontId="5" fillId="0" borderId="1" xfId="1" applyNumberFormat="1" applyFont="1" applyBorder="1"/>
    <xf numFmtId="165" fontId="5" fillId="0" borderId="1" xfId="1" applyNumberFormat="1" applyFont="1" applyBorder="1" applyAlignment="1">
      <alignment horizontal="center" vertical="center" wrapText="1"/>
    </xf>
    <xf numFmtId="165" fontId="10" fillId="0" borderId="1" xfId="1" applyNumberFormat="1" applyFont="1" applyBorder="1"/>
    <xf numFmtId="165" fontId="10" fillId="0" borderId="0" xfId="1" applyNumberFormat="1" applyFont="1"/>
    <xf numFmtId="0" fontId="10" fillId="0" borderId="0" xfId="0" applyFont="1"/>
    <xf numFmtId="165" fontId="11" fillId="0" borderId="1" xfId="1" applyNumberFormat="1" applyFont="1" applyBorder="1"/>
    <xf numFmtId="165" fontId="12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9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17" fontId="6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0" fillId="0" borderId="1" xfId="0" applyBorder="1"/>
    <xf numFmtId="0" fontId="10" fillId="0" borderId="1" xfId="0" applyFont="1" applyBorder="1"/>
    <xf numFmtId="0" fontId="8" fillId="0" borderId="1" xfId="0" applyFont="1" applyBorder="1"/>
    <xf numFmtId="165" fontId="0" fillId="0" borderId="1" xfId="0" applyNumberFormat="1" applyBorder="1"/>
    <xf numFmtId="165" fontId="3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UPLE%20HEAD%20OFFICE\Desktop\SUIVIE%20DISTRIBUTION%20MENSUEL\SORTIE%201507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UPLE%20HEAD%20OFFICE\Desktop\SUIVIE%20DISTRIBUTION%20MENSUEL\SORTIE%2016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UPLE%20HEAD%20OFFICE\Desktop\SUIVIE%20DISTRIBUTION%20MENSUEL\SORTIE%201707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UPLE%20HEAD%20OFFICE\Desktop\SUIVIE%20DISTRIBUTION%20MENSUEL\SORTIE%201807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UPLE%20HEAD%20OFFICE\Desktop\SUIVIE%20DISTRIBUTION%20MENSUEL\SORTIE%201907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UPLE%20HEAD%20OFFICE\Desktop\SUIVIE%20DISTRIBUTION%20MENSUEL\SORTIE%202007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UPLE%20HEAD%20OFFICE\Desktop\SUIVIE%20DISTRIBUTION%20MENSUEL\SORTIE%2021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 refreshError="1"/>
      <sheetData sheetId="1" refreshError="1"/>
      <sheetData sheetId="2" refreshError="1">
        <row r="3">
          <cell r="B3">
            <v>0</v>
          </cell>
          <cell r="C3">
            <v>920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73600</v>
          </cell>
          <cell r="Q3">
            <v>0</v>
          </cell>
        </row>
        <row r="4">
          <cell r="B4">
            <v>0</v>
          </cell>
          <cell r="C4">
            <v>55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4400</v>
          </cell>
          <cell r="Q4">
            <v>0</v>
          </cell>
        </row>
        <row r="5">
          <cell r="B5">
            <v>0</v>
          </cell>
          <cell r="C5">
            <v>505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40400</v>
          </cell>
          <cell r="Q5">
            <v>0</v>
          </cell>
        </row>
        <row r="6">
          <cell r="B6">
            <v>250</v>
          </cell>
          <cell r="C6">
            <v>1270</v>
          </cell>
          <cell r="D6">
            <v>10</v>
          </cell>
          <cell r="E6">
            <v>45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119800</v>
          </cell>
          <cell r="Q6">
            <v>0</v>
          </cell>
        </row>
        <row r="7">
          <cell r="B7">
            <v>0</v>
          </cell>
          <cell r="C7">
            <v>1525</v>
          </cell>
          <cell r="D7">
            <v>0</v>
          </cell>
          <cell r="E7">
            <v>175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150000</v>
          </cell>
          <cell r="Q7">
            <v>0</v>
          </cell>
        </row>
        <row r="8">
          <cell r="B8">
            <v>0</v>
          </cell>
          <cell r="C8">
            <v>425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34000</v>
          </cell>
          <cell r="Q8">
            <v>0</v>
          </cell>
        </row>
        <row r="9">
          <cell r="B9">
            <v>0</v>
          </cell>
          <cell r="C9">
            <v>242</v>
          </cell>
          <cell r="D9">
            <v>15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20860</v>
          </cell>
          <cell r="Q9">
            <v>0</v>
          </cell>
        </row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9600</v>
          </cell>
          <cell r="Q20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 refreshError="1"/>
      <sheetData sheetId="1" refreshError="1"/>
      <sheetData sheetId="2" refreshError="1"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9600</v>
          </cell>
          <cell r="Q2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 refreshError="1"/>
      <sheetData sheetId="1" refreshError="1"/>
      <sheetData sheetId="2" refreshError="1"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9600</v>
          </cell>
          <cell r="Q2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 refreshError="1"/>
      <sheetData sheetId="1" refreshError="1"/>
      <sheetData sheetId="2" refreshError="1"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9600</v>
          </cell>
          <cell r="Q2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 refreshError="1"/>
      <sheetData sheetId="1" refreshError="1"/>
      <sheetData sheetId="2" refreshError="1"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9600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 refreshError="1"/>
      <sheetData sheetId="1" refreshError="1"/>
      <sheetData sheetId="2" refreshError="1"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 refreshError="1"/>
      <sheetData sheetId="1" refreshError="1"/>
      <sheetData sheetId="2" refreshError="1">
        <row r="20">
          <cell r="B20">
            <v>120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9600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L13" sqref="L13"/>
    </sheetView>
  </sheetViews>
  <sheetFormatPr baseColWidth="10" defaultRowHeight="14.25"/>
  <cols>
    <col min="1" max="1" width="13.625" bestFit="1" customWidth="1"/>
    <col min="2" max="2" width="5.125" style="3" bestFit="1" customWidth="1"/>
    <col min="3" max="3" width="5.375" style="3" bestFit="1" customWidth="1"/>
    <col min="4" max="9" width="5.125" style="3" bestFit="1" customWidth="1"/>
    <col min="10" max="10" width="5.25" style="22" customWidth="1"/>
    <col min="11" max="11" width="5.125" style="3" bestFit="1" customWidth="1"/>
    <col min="12" max="12" width="4.75" style="16" customWidth="1"/>
    <col min="13" max="13" width="8.25" style="3" bestFit="1" customWidth="1"/>
    <col min="14" max="14" width="9.25" style="22" bestFit="1" customWidth="1"/>
    <col min="15" max="15" width="7.875" style="3" bestFit="1" customWidth="1"/>
  </cols>
  <sheetData>
    <row r="1" spans="1:15" s="9" customFormat="1" ht="15">
      <c r="A1" s="43" t="s">
        <v>11</v>
      </c>
      <c r="B1" s="43"/>
      <c r="C1" s="43"/>
      <c r="D1" s="43"/>
      <c r="E1" s="43"/>
      <c r="F1" s="43"/>
      <c r="G1" s="43"/>
      <c r="H1" s="43"/>
      <c r="I1" s="43"/>
      <c r="J1" s="43"/>
      <c r="L1" s="14"/>
      <c r="M1" s="13" t="s">
        <v>12</v>
      </c>
      <c r="N1" s="19"/>
      <c r="O1" s="10">
        <v>46204</v>
      </c>
    </row>
    <row r="2" spans="1:15">
      <c r="A2" s="44" t="s">
        <v>0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1" t="s">
        <v>3</v>
      </c>
      <c r="L2" s="25" t="s">
        <v>4</v>
      </c>
      <c r="M2" s="42" t="s">
        <v>5</v>
      </c>
      <c r="N2" s="41" t="s">
        <v>7</v>
      </c>
      <c r="O2" s="42" t="s">
        <v>8</v>
      </c>
    </row>
    <row r="3" spans="1:15" ht="22.5">
      <c r="A3" s="44"/>
      <c r="B3" s="1">
        <v>40</v>
      </c>
      <c r="C3" s="1">
        <v>80</v>
      </c>
      <c r="D3" s="1">
        <v>100</v>
      </c>
      <c r="E3" s="1">
        <v>160</v>
      </c>
      <c r="F3" s="1">
        <v>40</v>
      </c>
      <c r="G3" s="1">
        <v>80</v>
      </c>
      <c r="H3" s="1">
        <v>125</v>
      </c>
      <c r="I3" s="1">
        <v>160</v>
      </c>
      <c r="J3" s="20" t="s">
        <v>6</v>
      </c>
      <c r="K3" s="1">
        <v>80</v>
      </c>
      <c r="L3" s="1">
        <v>100</v>
      </c>
      <c r="M3" s="42"/>
      <c r="N3" s="41"/>
      <c r="O3" s="42"/>
    </row>
    <row r="4" spans="1:15">
      <c r="A4" s="4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0">
        <v>0</v>
      </c>
      <c r="K4" s="1">
        <v>0</v>
      </c>
      <c r="L4" s="1">
        <v>0</v>
      </c>
      <c r="M4" s="1">
        <v>0</v>
      </c>
      <c r="N4" s="20">
        <v>0</v>
      </c>
      <c r="O4" s="2">
        <v>0</v>
      </c>
    </row>
    <row r="5" spans="1:15">
      <c r="A5" s="5">
        <v>46023</v>
      </c>
      <c r="B5" s="6"/>
      <c r="C5" s="6"/>
      <c r="D5" s="6"/>
      <c r="E5" s="6"/>
      <c r="F5" s="6"/>
      <c r="G5" s="6"/>
      <c r="H5" s="6"/>
      <c r="I5" s="6"/>
      <c r="J5" s="21"/>
      <c r="K5" s="6"/>
      <c r="L5" s="15"/>
      <c r="M5" s="6"/>
      <c r="N5" s="21"/>
      <c r="O5" s="6">
        <f>N5-M5+O4</f>
        <v>0</v>
      </c>
    </row>
    <row r="6" spans="1:15">
      <c r="A6" s="5">
        <v>46024</v>
      </c>
      <c r="B6" s="6"/>
      <c r="C6" s="6"/>
      <c r="D6" s="6"/>
      <c r="E6" s="6"/>
      <c r="F6" s="6"/>
      <c r="G6" s="6"/>
      <c r="H6" s="6"/>
      <c r="I6" s="6"/>
      <c r="J6" s="21"/>
      <c r="K6" s="6"/>
      <c r="L6" s="15"/>
      <c r="M6" s="6"/>
      <c r="N6" s="21"/>
      <c r="O6" s="6">
        <f t="shared" ref="O6:O35" si="0">N6-M6+O5</f>
        <v>0</v>
      </c>
    </row>
    <row r="7" spans="1:15">
      <c r="A7" s="5">
        <v>46025</v>
      </c>
      <c r="B7" s="6"/>
      <c r="C7" s="6"/>
      <c r="D7" s="6"/>
      <c r="E7" s="6"/>
      <c r="F7" s="6"/>
      <c r="G7" s="6"/>
      <c r="H7" s="6"/>
      <c r="I7" s="6"/>
      <c r="J7" s="21"/>
      <c r="K7" s="6"/>
      <c r="L7" s="15"/>
      <c r="M7" s="6"/>
      <c r="N7" s="21"/>
      <c r="O7" s="6">
        <f t="shared" si="0"/>
        <v>0</v>
      </c>
    </row>
    <row r="8" spans="1:15">
      <c r="A8" s="5">
        <v>46026</v>
      </c>
      <c r="B8" s="6"/>
      <c r="C8" s="6"/>
      <c r="D8" s="6"/>
      <c r="E8" s="6"/>
      <c r="F8" s="6"/>
      <c r="G8" s="6"/>
      <c r="H8" s="6"/>
      <c r="I8" s="6"/>
      <c r="J8" s="21"/>
      <c r="K8" s="6"/>
      <c r="L8" s="15"/>
      <c r="M8" s="6"/>
      <c r="N8" s="21"/>
      <c r="O8" s="6">
        <f t="shared" si="0"/>
        <v>0</v>
      </c>
    </row>
    <row r="9" spans="1:15">
      <c r="A9" s="5">
        <v>46027</v>
      </c>
      <c r="B9" s="6"/>
      <c r="C9" s="6"/>
      <c r="D9" s="6"/>
      <c r="E9" s="6"/>
      <c r="F9" s="6"/>
      <c r="G9" s="6"/>
      <c r="H9" s="6"/>
      <c r="I9" s="6"/>
      <c r="J9" s="21"/>
      <c r="K9" s="6"/>
      <c r="L9" s="15"/>
      <c r="M9" s="6"/>
      <c r="N9" s="21"/>
      <c r="O9" s="6">
        <f t="shared" si="0"/>
        <v>0</v>
      </c>
    </row>
    <row r="10" spans="1:15">
      <c r="A10" s="5">
        <v>46028</v>
      </c>
      <c r="B10" s="6"/>
      <c r="C10" s="6"/>
      <c r="D10" s="6"/>
      <c r="E10" s="6"/>
      <c r="F10" s="6"/>
      <c r="G10" s="6"/>
      <c r="H10" s="6"/>
      <c r="I10" s="6"/>
      <c r="J10" s="21"/>
      <c r="K10" s="6"/>
      <c r="L10" s="15"/>
      <c r="M10" s="6"/>
      <c r="N10" s="21"/>
      <c r="O10" s="6">
        <f t="shared" si="0"/>
        <v>0</v>
      </c>
    </row>
    <row r="11" spans="1:15">
      <c r="A11" s="5">
        <v>46029</v>
      </c>
      <c r="B11" s="6"/>
      <c r="C11" s="6"/>
      <c r="D11" s="6"/>
      <c r="E11" s="6"/>
      <c r="F11" s="6"/>
      <c r="G11" s="6"/>
      <c r="H11" s="6"/>
      <c r="I11" s="6"/>
      <c r="J11" s="21"/>
      <c r="K11" s="6"/>
      <c r="L11" s="15"/>
      <c r="M11" s="6"/>
      <c r="N11" s="21"/>
      <c r="O11" s="6">
        <f t="shared" si="0"/>
        <v>0</v>
      </c>
    </row>
    <row r="12" spans="1:15">
      <c r="A12" s="5">
        <v>46030</v>
      </c>
      <c r="B12" s="6"/>
      <c r="C12" s="6"/>
      <c r="D12" s="6"/>
      <c r="E12" s="6"/>
      <c r="F12" s="6"/>
      <c r="G12" s="6"/>
      <c r="H12" s="6"/>
      <c r="I12" s="6"/>
      <c r="J12" s="21"/>
      <c r="K12" s="6"/>
      <c r="L12" s="15"/>
      <c r="M12" s="6"/>
      <c r="N12" s="21"/>
      <c r="O12" s="6">
        <f t="shared" si="0"/>
        <v>0</v>
      </c>
    </row>
    <row r="13" spans="1:15">
      <c r="A13" s="5">
        <v>46031</v>
      </c>
      <c r="B13" s="6"/>
      <c r="C13" s="6"/>
      <c r="D13" s="6"/>
      <c r="E13" s="6"/>
      <c r="F13" s="6"/>
      <c r="G13" s="6"/>
      <c r="H13" s="6"/>
      <c r="I13" s="6"/>
      <c r="J13" s="21"/>
      <c r="K13" s="6"/>
      <c r="L13" s="15"/>
      <c r="M13" s="6"/>
      <c r="N13" s="21"/>
      <c r="O13" s="6">
        <f t="shared" si="0"/>
        <v>0</v>
      </c>
    </row>
    <row r="14" spans="1:15">
      <c r="A14" s="5">
        <v>46032</v>
      </c>
      <c r="B14" s="6"/>
      <c r="C14" s="6"/>
      <c r="D14" s="6"/>
      <c r="E14" s="6"/>
      <c r="F14" s="6"/>
      <c r="G14" s="6"/>
      <c r="H14" s="6"/>
      <c r="I14" s="6"/>
      <c r="J14" s="21"/>
      <c r="K14" s="6"/>
      <c r="L14" s="15"/>
      <c r="M14" s="6"/>
      <c r="N14" s="21"/>
      <c r="O14" s="6">
        <f t="shared" si="0"/>
        <v>0</v>
      </c>
    </row>
    <row r="15" spans="1:15">
      <c r="A15" s="5">
        <v>46033</v>
      </c>
      <c r="B15" s="6"/>
      <c r="C15" s="6"/>
      <c r="D15" s="6"/>
      <c r="E15" s="6"/>
      <c r="F15" s="6"/>
      <c r="G15" s="6"/>
      <c r="H15" s="6"/>
      <c r="I15" s="6"/>
      <c r="J15" s="21"/>
      <c r="K15" s="6"/>
      <c r="L15" s="15"/>
      <c r="M15" s="6"/>
      <c r="N15" s="21"/>
      <c r="O15" s="6">
        <f t="shared" si="0"/>
        <v>0</v>
      </c>
    </row>
    <row r="16" spans="1:15">
      <c r="A16" s="5">
        <v>46034</v>
      </c>
      <c r="B16" s="6"/>
      <c r="C16" s="6"/>
      <c r="D16" s="6"/>
      <c r="E16" s="6"/>
      <c r="F16" s="6"/>
      <c r="G16" s="6"/>
      <c r="H16" s="6"/>
      <c r="I16" s="6"/>
      <c r="J16" s="21"/>
      <c r="K16" s="6"/>
      <c r="L16" s="15"/>
      <c r="M16" s="6"/>
      <c r="N16" s="21"/>
      <c r="O16" s="6">
        <f t="shared" si="0"/>
        <v>0</v>
      </c>
    </row>
    <row r="17" spans="1:15">
      <c r="A17" s="5">
        <v>46035</v>
      </c>
      <c r="B17" s="6"/>
      <c r="C17" s="6"/>
      <c r="D17" s="6"/>
      <c r="E17" s="6"/>
      <c r="F17" s="6"/>
      <c r="G17" s="6"/>
      <c r="H17" s="6"/>
      <c r="I17" s="6"/>
      <c r="J17" s="21"/>
      <c r="K17" s="6"/>
      <c r="L17" s="15"/>
      <c r="M17" s="6"/>
      <c r="N17" s="21"/>
      <c r="O17" s="6">
        <f t="shared" si="0"/>
        <v>0</v>
      </c>
    </row>
    <row r="18" spans="1:15">
      <c r="A18" s="5">
        <v>46036</v>
      </c>
      <c r="B18" s="6"/>
      <c r="C18" s="6"/>
      <c r="D18" s="6"/>
      <c r="E18" s="6"/>
      <c r="F18" s="6"/>
      <c r="G18" s="6"/>
      <c r="H18" s="6"/>
      <c r="I18" s="6"/>
      <c r="J18" s="21"/>
      <c r="K18" s="6"/>
      <c r="L18" s="15"/>
      <c r="M18" s="6"/>
      <c r="N18" s="21"/>
      <c r="O18" s="6">
        <f t="shared" si="0"/>
        <v>0</v>
      </c>
    </row>
    <row r="19" spans="1:15">
      <c r="A19" s="5">
        <v>46037</v>
      </c>
      <c r="B19" s="6">
        <f>+'[1]LIVREUR INTERNE ETC'!B$3</f>
        <v>0</v>
      </c>
      <c r="C19" s="6">
        <f>+'[1]LIVREUR INTERNE ETC'!C$3</f>
        <v>920</v>
      </c>
      <c r="D19" s="6">
        <f>+'[1]LIVREUR INTERNE ETC'!D$3</f>
        <v>0</v>
      </c>
      <c r="E19" s="6">
        <f>+'[1]LIVREUR INTERNE ETC'!E$3</f>
        <v>0</v>
      </c>
      <c r="F19" s="6">
        <f>+'[1]LIVREUR INTERNE ETC'!F$3</f>
        <v>0</v>
      </c>
      <c r="G19" s="6">
        <f>+'[1]LIVREUR INTERNE ETC'!G$3</f>
        <v>0</v>
      </c>
      <c r="H19" s="6">
        <f>+'[1]LIVREUR INTERNE ETC'!H$3</f>
        <v>0</v>
      </c>
      <c r="I19" s="6">
        <f>+'[1]LIVREUR INTERNE ETC'!I$3</f>
        <v>0</v>
      </c>
      <c r="J19" s="21">
        <f>+'[1]LIVREUR INTERNE ETC'!J$3</f>
        <v>0</v>
      </c>
      <c r="K19" s="6">
        <f>+'[1]LIVREUR INTERNE ETC'!K$3</f>
        <v>0</v>
      </c>
      <c r="L19" s="15">
        <f>+'[1]LIVREUR INTERNE ETC'!L$3</f>
        <v>0</v>
      </c>
      <c r="M19" s="6">
        <f>+'[1]LIVREUR INTERNE ETC'!M$3</f>
        <v>73600</v>
      </c>
      <c r="N19" s="21">
        <f>+'[1]LIVREUR INTERNE ETC'!Q$3</f>
        <v>0</v>
      </c>
      <c r="O19" s="6">
        <f t="shared" si="0"/>
        <v>-73600</v>
      </c>
    </row>
    <row r="20" spans="1:15">
      <c r="A20" s="5">
        <v>46038</v>
      </c>
      <c r="B20" s="6"/>
      <c r="C20" s="6"/>
      <c r="D20" s="6"/>
      <c r="E20" s="6"/>
      <c r="F20" s="6"/>
      <c r="G20" s="6"/>
      <c r="H20" s="6"/>
      <c r="I20" s="6"/>
      <c r="J20" s="21"/>
      <c r="K20" s="6"/>
      <c r="L20" s="15"/>
      <c r="M20" s="6"/>
      <c r="N20" s="21"/>
      <c r="O20" s="6">
        <f t="shared" si="0"/>
        <v>-73600</v>
      </c>
    </row>
    <row r="21" spans="1:15">
      <c r="A21" s="5">
        <v>46039</v>
      </c>
      <c r="B21" s="6"/>
      <c r="C21" s="6"/>
      <c r="D21" s="6"/>
      <c r="E21" s="6"/>
      <c r="F21" s="6"/>
      <c r="G21" s="6"/>
      <c r="H21" s="6"/>
      <c r="I21" s="6"/>
      <c r="J21" s="21"/>
      <c r="K21" s="6"/>
      <c r="L21" s="15"/>
      <c r="M21" s="6"/>
      <c r="N21" s="21"/>
      <c r="O21" s="6">
        <f t="shared" si="0"/>
        <v>-73600</v>
      </c>
    </row>
    <row r="22" spans="1:15">
      <c r="A22" s="5">
        <v>46040</v>
      </c>
      <c r="B22" s="6"/>
      <c r="C22" s="6"/>
      <c r="D22" s="6"/>
      <c r="E22" s="6"/>
      <c r="F22" s="6"/>
      <c r="G22" s="6"/>
      <c r="H22" s="6"/>
      <c r="I22" s="6"/>
      <c r="J22" s="21"/>
      <c r="K22" s="6"/>
      <c r="L22" s="15"/>
      <c r="M22" s="6"/>
      <c r="N22" s="21"/>
      <c r="O22" s="6">
        <f t="shared" si="0"/>
        <v>-73600</v>
      </c>
    </row>
    <row r="23" spans="1:15">
      <c r="A23" s="5">
        <v>46041</v>
      </c>
      <c r="B23" s="6"/>
      <c r="C23" s="6"/>
      <c r="D23" s="6"/>
      <c r="E23" s="6"/>
      <c r="F23" s="6"/>
      <c r="G23" s="6"/>
      <c r="H23" s="6"/>
      <c r="I23" s="6"/>
      <c r="J23" s="21"/>
      <c r="K23" s="6"/>
      <c r="L23" s="15"/>
      <c r="M23" s="6"/>
      <c r="N23" s="21"/>
      <c r="O23" s="6">
        <f t="shared" si="0"/>
        <v>-73600</v>
      </c>
    </row>
    <row r="24" spans="1:15">
      <c r="A24" s="5">
        <v>46042</v>
      </c>
      <c r="B24" s="6"/>
      <c r="C24" s="6"/>
      <c r="D24" s="6"/>
      <c r="E24" s="6"/>
      <c r="F24" s="6"/>
      <c r="G24" s="6"/>
      <c r="H24" s="6"/>
      <c r="I24" s="6"/>
      <c r="J24" s="21"/>
      <c r="K24" s="6"/>
      <c r="L24" s="15"/>
      <c r="M24" s="6"/>
      <c r="N24" s="21"/>
      <c r="O24" s="6">
        <f t="shared" si="0"/>
        <v>-73600</v>
      </c>
    </row>
    <row r="25" spans="1:15">
      <c r="A25" s="5">
        <v>46043</v>
      </c>
      <c r="B25" s="6"/>
      <c r="C25" s="6"/>
      <c r="D25" s="6"/>
      <c r="E25" s="6"/>
      <c r="F25" s="6"/>
      <c r="G25" s="6"/>
      <c r="H25" s="6"/>
      <c r="I25" s="6"/>
      <c r="J25" s="21"/>
      <c r="K25" s="6"/>
      <c r="L25" s="15"/>
      <c r="M25" s="6"/>
      <c r="N25" s="21"/>
      <c r="O25" s="6">
        <f t="shared" si="0"/>
        <v>-73600</v>
      </c>
    </row>
    <row r="26" spans="1:15">
      <c r="A26" s="5">
        <v>46044</v>
      </c>
      <c r="B26" s="6"/>
      <c r="C26" s="6"/>
      <c r="D26" s="6"/>
      <c r="E26" s="6"/>
      <c r="F26" s="6"/>
      <c r="G26" s="6"/>
      <c r="H26" s="6"/>
      <c r="I26" s="6"/>
      <c r="J26" s="21"/>
      <c r="K26" s="6"/>
      <c r="L26" s="15"/>
      <c r="M26" s="6"/>
      <c r="N26" s="21"/>
      <c r="O26" s="6">
        <f t="shared" si="0"/>
        <v>-73600</v>
      </c>
    </row>
    <row r="27" spans="1:15">
      <c r="A27" s="5">
        <v>46045</v>
      </c>
      <c r="B27" s="6"/>
      <c r="C27" s="6"/>
      <c r="D27" s="6"/>
      <c r="E27" s="6"/>
      <c r="F27" s="6"/>
      <c r="G27" s="6"/>
      <c r="H27" s="6"/>
      <c r="I27" s="6"/>
      <c r="J27" s="21"/>
      <c r="K27" s="6"/>
      <c r="L27" s="15"/>
      <c r="M27" s="6"/>
      <c r="N27" s="21"/>
      <c r="O27" s="6">
        <f t="shared" si="0"/>
        <v>-73600</v>
      </c>
    </row>
    <row r="28" spans="1:15">
      <c r="A28" s="5">
        <v>46046</v>
      </c>
      <c r="B28" s="6"/>
      <c r="C28" s="6"/>
      <c r="D28" s="6"/>
      <c r="E28" s="6"/>
      <c r="F28" s="6"/>
      <c r="G28" s="6"/>
      <c r="H28" s="6"/>
      <c r="I28" s="6"/>
      <c r="J28" s="21"/>
      <c r="K28" s="6"/>
      <c r="L28" s="15"/>
      <c r="M28" s="6"/>
      <c r="N28" s="21"/>
      <c r="O28" s="6">
        <f t="shared" si="0"/>
        <v>-73600</v>
      </c>
    </row>
    <row r="29" spans="1:15">
      <c r="A29" s="5">
        <v>46047</v>
      </c>
      <c r="B29" s="6"/>
      <c r="C29" s="6"/>
      <c r="D29" s="6"/>
      <c r="E29" s="6"/>
      <c r="F29" s="6"/>
      <c r="G29" s="6"/>
      <c r="H29" s="6"/>
      <c r="I29" s="6"/>
      <c r="J29" s="21"/>
      <c r="K29" s="6"/>
      <c r="L29" s="15"/>
      <c r="M29" s="6"/>
      <c r="N29" s="21"/>
      <c r="O29" s="6">
        <f t="shared" si="0"/>
        <v>-73600</v>
      </c>
    </row>
    <row r="30" spans="1:15">
      <c r="A30" s="5">
        <v>46048</v>
      </c>
      <c r="B30" s="6"/>
      <c r="C30" s="6"/>
      <c r="D30" s="6"/>
      <c r="E30" s="6"/>
      <c r="F30" s="6"/>
      <c r="G30" s="6"/>
      <c r="H30" s="6"/>
      <c r="I30" s="6"/>
      <c r="J30" s="21"/>
      <c r="K30" s="6"/>
      <c r="L30" s="15"/>
      <c r="M30" s="6"/>
      <c r="N30" s="21"/>
      <c r="O30" s="6">
        <f t="shared" si="0"/>
        <v>-73600</v>
      </c>
    </row>
    <row r="31" spans="1:15">
      <c r="A31" s="5">
        <v>46049</v>
      </c>
      <c r="B31" s="6"/>
      <c r="C31" s="6"/>
      <c r="D31" s="6"/>
      <c r="E31" s="6"/>
      <c r="F31" s="6"/>
      <c r="G31" s="6"/>
      <c r="H31" s="6"/>
      <c r="I31" s="6"/>
      <c r="J31" s="21"/>
      <c r="K31" s="6"/>
      <c r="L31" s="15"/>
      <c r="M31" s="6"/>
      <c r="N31" s="21"/>
      <c r="O31" s="6">
        <f t="shared" si="0"/>
        <v>-73600</v>
      </c>
    </row>
    <row r="32" spans="1:15">
      <c r="A32" s="5">
        <v>46050</v>
      </c>
      <c r="B32" s="6"/>
      <c r="C32" s="6"/>
      <c r="D32" s="6"/>
      <c r="E32" s="6"/>
      <c r="F32" s="6"/>
      <c r="G32" s="6"/>
      <c r="H32" s="6"/>
      <c r="I32" s="6"/>
      <c r="J32" s="21"/>
      <c r="K32" s="6"/>
      <c r="L32" s="15"/>
      <c r="M32" s="6"/>
      <c r="N32" s="21"/>
      <c r="O32" s="6">
        <f t="shared" si="0"/>
        <v>-73600</v>
      </c>
    </row>
    <row r="33" spans="1:15">
      <c r="A33" s="5">
        <v>46051</v>
      </c>
      <c r="B33" s="6"/>
      <c r="C33" s="6"/>
      <c r="D33" s="6"/>
      <c r="E33" s="6"/>
      <c r="F33" s="6"/>
      <c r="G33" s="6"/>
      <c r="H33" s="6"/>
      <c r="I33" s="6"/>
      <c r="J33" s="21"/>
      <c r="K33" s="6"/>
      <c r="L33" s="15"/>
      <c r="M33" s="6"/>
      <c r="N33" s="21"/>
      <c r="O33" s="6">
        <f t="shared" si="0"/>
        <v>-73600</v>
      </c>
    </row>
    <row r="34" spans="1:15">
      <c r="A34" s="5">
        <v>46052</v>
      </c>
      <c r="B34" s="6"/>
      <c r="C34" s="6"/>
      <c r="D34" s="6"/>
      <c r="E34" s="6"/>
      <c r="F34" s="6"/>
      <c r="G34" s="6"/>
      <c r="H34" s="6"/>
      <c r="I34" s="6"/>
      <c r="J34" s="21"/>
      <c r="K34" s="6"/>
      <c r="L34" s="15"/>
      <c r="M34" s="6"/>
      <c r="N34" s="21"/>
      <c r="O34" s="6">
        <f t="shared" si="0"/>
        <v>-73600</v>
      </c>
    </row>
    <row r="35" spans="1:15">
      <c r="A35" s="5">
        <v>46053</v>
      </c>
      <c r="B35" s="6"/>
      <c r="C35" s="6"/>
      <c r="D35" s="6"/>
      <c r="E35" s="6"/>
      <c r="F35" s="6"/>
      <c r="G35" s="6"/>
      <c r="H35" s="6"/>
      <c r="I35" s="6"/>
      <c r="J35" s="21"/>
      <c r="K35" s="6"/>
      <c r="L35" s="15"/>
      <c r="M35" s="6"/>
      <c r="N35" s="21"/>
      <c r="O35" s="6">
        <f t="shared" si="0"/>
        <v>-73600</v>
      </c>
    </row>
    <row r="36" spans="1:15" s="9" customFormat="1" ht="15">
      <c r="A36" s="7" t="s">
        <v>10</v>
      </c>
      <c r="B36" s="8">
        <f>+SUM(B4:B35)</f>
        <v>0</v>
      </c>
      <c r="C36" s="8">
        <f t="shared" ref="C36:N36" si="1">+SUM(C4:C35)</f>
        <v>920</v>
      </c>
      <c r="D36" s="8">
        <f t="shared" si="1"/>
        <v>0</v>
      </c>
      <c r="E36" s="8">
        <f t="shared" si="1"/>
        <v>0</v>
      </c>
      <c r="F36" s="8">
        <f t="shared" si="1"/>
        <v>0</v>
      </c>
      <c r="G36" s="8">
        <f t="shared" si="1"/>
        <v>0</v>
      </c>
      <c r="H36" s="8">
        <f t="shared" si="1"/>
        <v>0</v>
      </c>
      <c r="I36" s="8">
        <f t="shared" si="1"/>
        <v>0</v>
      </c>
      <c r="J36" s="19">
        <f t="shared" si="1"/>
        <v>0</v>
      </c>
      <c r="K36" s="8">
        <f t="shared" si="1"/>
        <v>0</v>
      </c>
      <c r="L36" s="14">
        <f t="shared" si="1"/>
        <v>0</v>
      </c>
      <c r="M36" s="8">
        <f t="shared" si="1"/>
        <v>73600</v>
      </c>
      <c r="N36" s="19">
        <f t="shared" si="1"/>
        <v>0</v>
      </c>
      <c r="O36" s="8">
        <f>+M36-N36</f>
        <v>73600</v>
      </c>
    </row>
  </sheetData>
  <mergeCells count="7">
    <mergeCell ref="N2:N3"/>
    <mergeCell ref="O2:O3"/>
    <mergeCell ref="A1:J1"/>
    <mergeCell ref="A2:A3"/>
    <mergeCell ref="B2:E2"/>
    <mergeCell ref="F2:J2"/>
    <mergeCell ref="M2:M3"/>
  </mergeCells>
  <pageMargins left="0" right="0" top="0" bottom="0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L13" sqref="L13"/>
    </sheetView>
  </sheetViews>
  <sheetFormatPr baseColWidth="10" defaultRowHeight="14.25"/>
  <cols>
    <col min="1" max="1" width="13.625" bestFit="1" customWidth="1"/>
    <col min="2" max="2" width="5.125" bestFit="1" customWidth="1"/>
    <col min="3" max="3" width="4.375" bestFit="1" customWidth="1"/>
    <col min="4" max="9" width="5.125" bestFit="1" customWidth="1"/>
    <col min="10" max="10" width="5.25" style="23" customWidth="1"/>
    <col min="11" max="11" width="5.125" bestFit="1" customWidth="1"/>
    <col min="12" max="12" width="4.75" style="17" customWidth="1"/>
    <col min="13" max="13" width="10.625" bestFit="1" customWidth="1"/>
    <col min="14" max="14" width="9.25" style="23" bestFit="1" customWidth="1"/>
    <col min="15" max="15" width="6.875" bestFit="1" customWidth="1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L1" s="18"/>
      <c r="M1" s="13" t="s">
        <v>13</v>
      </c>
      <c r="N1" s="24"/>
      <c r="O1" s="12">
        <v>46204</v>
      </c>
    </row>
    <row r="2" spans="1:15">
      <c r="A2" s="44" t="s">
        <v>0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1" t="s">
        <v>3</v>
      </c>
      <c r="L2" s="25" t="s">
        <v>4</v>
      </c>
      <c r="M2" s="42" t="s">
        <v>5</v>
      </c>
      <c r="N2" s="41" t="s">
        <v>7</v>
      </c>
      <c r="O2" s="42" t="s">
        <v>8</v>
      </c>
    </row>
    <row r="3" spans="1:15" ht="22.5">
      <c r="A3" s="44"/>
      <c r="B3" s="1">
        <v>40</v>
      </c>
      <c r="C3" s="1">
        <v>80</v>
      </c>
      <c r="D3" s="1">
        <v>100</v>
      </c>
      <c r="E3" s="1">
        <v>160</v>
      </c>
      <c r="F3" s="1">
        <v>40</v>
      </c>
      <c r="G3" s="1">
        <v>80</v>
      </c>
      <c r="H3" s="1">
        <v>125</v>
      </c>
      <c r="I3" s="1">
        <v>160</v>
      </c>
      <c r="J3" s="20" t="s">
        <v>6</v>
      </c>
      <c r="K3" s="1">
        <v>80</v>
      </c>
      <c r="L3" s="1">
        <v>100</v>
      </c>
      <c r="M3" s="42"/>
      <c r="N3" s="41"/>
      <c r="O3" s="42"/>
    </row>
    <row r="4" spans="1:15">
      <c r="A4" s="4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0">
        <v>0</v>
      </c>
      <c r="K4" s="1">
        <v>0</v>
      </c>
      <c r="L4" s="1">
        <v>0</v>
      </c>
      <c r="M4" s="1">
        <v>0</v>
      </c>
      <c r="N4" s="20">
        <v>0</v>
      </c>
      <c r="O4" s="2">
        <v>0</v>
      </c>
    </row>
    <row r="5" spans="1:15">
      <c r="A5" s="5">
        <v>46023</v>
      </c>
      <c r="B5" s="6"/>
      <c r="C5" s="6"/>
      <c r="D5" s="6"/>
      <c r="E5" s="6"/>
      <c r="F5" s="6"/>
      <c r="G5" s="6"/>
      <c r="H5" s="6"/>
      <c r="I5" s="6"/>
      <c r="J5" s="21"/>
      <c r="K5" s="6"/>
      <c r="L5" s="15"/>
      <c r="M5" s="6"/>
      <c r="N5" s="21"/>
      <c r="O5" s="6">
        <f>N5-M5+O4</f>
        <v>0</v>
      </c>
    </row>
    <row r="6" spans="1:15">
      <c r="A6" s="5">
        <v>46024</v>
      </c>
      <c r="B6" s="6"/>
      <c r="C6" s="6"/>
      <c r="D6" s="6"/>
      <c r="E6" s="6"/>
      <c r="F6" s="6"/>
      <c r="G6" s="6"/>
      <c r="H6" s="6"/>
      <c r="I6" s="6"/>
      <c r="J6" s="21"/>
      <c r="K6" s="6"/>
      <c r="L6" s="15"/>
      <c r="M6" s="6"/>
      <c r="N6" s="21"/>
      <c r="O6" s="6">
        <f t="shared" ref="O6:O35" si="0">N6-M6+O5</f>
        <v>0</v>
      </c>
    </row>
    <row r="7" spans="1:15">
      <c r="A7" s="5">
        <v>46025</v>
      </c>
      <c r="B7" s="6"/>
      <c r="C7" s="6"/>
      <c r="D7" s="6"/>
      <c r="E7" s="6"/>
      <c r="F7" s="6"/>
      <c r="G7" s="6"/>
      <c r="H7" s="6"/>
      <c r="I7" s="6"/>
      <c r="J7" s="21"/>
      <c r="K7" s="6"/>
      <c r="L7" s="15"/>
      <c r="M7" s="6"/>
      <c r="N7" s="21"/>
      <c r="O7" s="6">
        <f t="shared" si="0"/>
        <v>0</v>
      </c>
    </row>
    <row r="8" spans="1:15">
      <c r="A8" s="5">
        <v>46026</v>
      </c>
      <c r="B8" s="6"/>
      <c r="C8" s="6"/>
      <c r="D8" s="6"/>
      <c r="E8" s="6"/>
      <c r="F8" s="6"/>
      <c r="G8" s="6"/>
      <c r="H8" s="6"/>
      <c r="I8" s="6"/>
      <c r="J8" s="21"/>
      <c r="K8" s="6"/>
      <c r="L8" s="15"/>
      <c r="M8" s="6"/>
      <c r="N8" s="21"/>
      <c r="O8" s="6">
        <f t="shared" si="0"/>
        <v>0</v>
      </c>
    </row>
    <row r="9" spans="1:15">
      <c r="A9" s="5">
        <v>46027</v>
      </c>
      <c r="B9" s="6"/>
      <c r="C9" s="6"/>
      <c r="D9" s="6"/>
      <c r="E9" s="6"/>
      <c r="F9" s="6"/>
      <c r="G9" s="6"/>
      <c r="H9" s="6"/>
      <c r="I9" s="6"/>
      <c r="J9" s="21"/>
      <c r="K9" s="6"/>
      <c r="L9" s="15"/>
      <c r="M9" s="6"/>
      <c r="N9" s="21"/>
      <c r="O9" s="6">
        <f t="shared" si="0"/>
        <v>0</v>
      </c>
    </row>
    <row r="10" spans="1:15">
      <c r="A10" s="5">
        <v>46028</v>
      </c>
      <c r="B10" s="6"/>
      <c r="C10" s="6"/>
      <c r="D10" s="6"/>
      <c r="E10" s="6"/>
      <c r="F10" s="6"/>
      <c r="G10" s="6"/>
      <c r="H10" s="6"/>
      <c r="I10" s="6"/>
      <c r="J10" s="21"/>
      <c r="K10" s="6"/>
      <c r="L10" s="15"/>
      <c r="M10" s="6"/>
      <c r="N10" s="21"/>
      <c r="O10" s="6">
        <f t="shared" si="0"/>
        <v>0</v>
      </c>
    </row>
    <row r="11" spans="1:15">
      <c r="A11" s="5">
        <v>46029</v>
      </c>
      <c r="B11" s="6"/>
      <c r="C11" s="6"/>
      <c r="D11" s="6"/>
      <c r="E11" s="6"/>
      <c r="F11" s="6"/>
      <c r="G11" s="6"/>
      <c r="H11" s="6"/>
      <c r="I11" s="6"/>
      <c r="J11" s="21"/>
      <c r="K11" s="6"/>
      <c r="L11" s="15"/>
      <c r="M11" s="6"/>
      <c r="N11" s="21"/>
      <c r="O11" s="6">
        <f t="shared" si="0"/>
        <v>0</v>
      </c>
    </row>
    <row r="12" spans="1:15">
      <c r="A12" s="5">
        <v>46030</v>
      </c>
      <c r="B12" s="6"/>
      <c r="C12" s="6"/>
      <c r="D12" s="6"/>
      <c r="E12" s="6"/>
      <c r="F12" s="6"/>
      <c r="G12" s="6"/>
      <c r="H12" s="6"/>
      <c r="I12" s="6"/>
      <c r="J12" s="21"/>
      <c r="K12" s="6"/>
      <c r="L12" s="15"/>
      <c r="M12" s="6"/>
      <c r="N12" s="21"/>
      <c r="O12" s="6">
        <f t="shared" si="0"/>
        <v>0</v>
      </c>
    </row>
    <row r="13" spans="1:15">
      <c r="A13" s="5">
        <v>46031</v>
      </c>
      <c r="B13" s="6"/>
      <c r="C13" s="6"/>
      <c r="D13" s="6"/>
      <c r="E13" s="6"/>
      <c r="F13" s="6"/>
      <c r="G13" s="6"/>
      <c r="H13" s="6"/>
      <c r="I13" s="6"/>
      <c r="J13" s="21"/>
      <c r="K13" s="6"/>
      <c r="L13" s="15"/>
      <c r="M13" s="6"/>
      <c r="N13" s="21"/>
      <c r="O13" s="6">
        <f t="shared" si="0"/>
        <v>0</v>
      </c>
    </row>
    <row r="14" spans="1:15">
      <c r="A14" s="5">
        <v>46032</v>
      </c>
      <c r="B14" s="6"/>
      <c r="C14" s="6"/>
      <c r="D14" s="6"/>
      <c r="E14" s="6"/>
      <c r="F14" s="6"/>
      <c r="G14" s="6"/>
      <c r="H14" s="6"/>
      <c r="I14" s="6"/>
      <c r="J14" s="21"/>
      <c r="K14" s="6"/>
      <c r="L14" s="15"/>
      <c r="M14" s="6"/>
      <c r="N14" s="21"/>
      <c r="O14" s="6">
        <f t="shared" si="0"/>
        <v>0</v>
      </c>
    </row>
    <row r="15" spans="1:15">
      <c r="A15" s="5">
        <v>46033</v>
      </c>
      <c r="B15" s="6"/>
      <c r="C15" s="6"/>
      <c r="D15" s="6"/>
      <c r="E15" s="6"/>
      <c r="F15" s="6"/>
      <c r="G15" s="6"/>
      <c r="H15" s="6"/>
      <c r="I15" s="6"/>
      <c r="J15" s="21"/>
      <c r="K15" s="6"/>
      <c r="L15" s="15"/>
      <c r="M15" s="6"/>
      <c r="N15" s="21"/>
      <c r="O15" s="6">
        <f t="shared" si="0"/>
        <v>0</v>
      </c>
    </row>
    <row r="16" spans="1:15">
      <c r="A16" s="5">
        <v>46034</v>
      </c>
      <c r="B16" s="6"/>
      <c r="C16" s="6"/>
      <c r="D16" s="6"/>
      <c r="E16" s="6"/>
      <c r="F16" s="6"/>
      <c r="G16" s="6"/>
      <c r="H16" s="6"/>
      <c r="I16" s="6"/>
      <c r="J16" s="21"/>
      <c r="K16" s="6"/>
      <c r="L16" s="15"/>
      <c r="M16" s="6"/>
      <c r="N16" s="21"/>
      <c r="O16" s="6">
        <f t="shared" si="0"/>
        <v>0</v>
      </c>
    </row>
    <row r="17" spans="1:15">
      <c r="A17" s="5">
        <v>46035</v>
      </c>
      <c r="B17" s="6"/>
      <c r="C17" s="6"/>
      <c r="D17" s="6"/>
      <c r="E17" s="6"/>
      <c r="F17" s="6"/>
      <c r="G17" s="6"/>
      <c r="H17" s="6"/>
      <c r="I17" s="6"/>
      <c r="J17" s="21"/>
      <c r="K17" s="6"/>
      <c r="L17" s="15"/>
      <c r="M17" s="6"/>
      <c r="N17" s="21"/>
      <c r="O17" s="6">
        <f t="shared" si="0"/>
        <v>0</v>
      </c>
    </row>
    <row r="18" spans="1:15">
      <c r="A18" s="5">
        <v>46036</v>
      </c>
      <c r="B18" s="6"/>
      <c r="C18" s="6"/>
      <c r="D18" s="6"/>
      <c r="E18" s="6"/>
      <c r="F18" s="6"/>
      <c r="G18" s="6"/>
      <c r="H18" s="6"/>
      <c r="I18" s="6"/>
      <c r="J18" s="21"/>
      <c r="K18" s="6"/>
      <c r="L18" s="15"/>
      <c r="M18" s="6"/>
      <c r="N18" s="21"/>
      <c r="O18" s="6">
        <f t="shared" si="0"/>
        <v>0</v>
      </c>
    </row>
    <row r="19" spans="1:15">
      <c r="A19" s="5">
        <v>46037</v>
      </c>
      <c r="B19" s="6">
        <f>+'[1]LIVREUR INTERNE ETC'!B$4</f>
        <v>0</v>
      </c>
      <c r="C19" s="6">
        <f>+'[1]LIVREUR INTERNE ETC'!C$4</f>
        <v>55</v>
      </c>
      <c r="D19" s="6">
        <f>+'[1]LIVREUR INTERNE ETC'!D$4</f>
        <v>0</v>
      </c>
      <c r="E19" s="6">
        <f>+'[1]LIVREUR INTERNE ETC'!E$4</f>
        <v>0</v>
      </c>
      <c r="F19" s="6">
        <f>+'[1]LIVREUR INTERNE ETC'!F$4</f>
        <v>0</v>
      </c>
      <c r="G19" s="6">
        <f>+'[1]LIVREUR INTERNE ETC'!G$4</f>
        <v>0</v>
      </c>
      <c r="H19" s="6">
        <f>+'[1]LIVREUR INTERNE ETC'!H$4</f>
        <v>0</v>
      </c>
      <c r="I19" s="6">
        <f>+'[1]LIVREUR INTERNE ETC'!I$4</f>
        <v>0</v>
      </c>
      <c r="J19" s="21">
        <f>+'[1]LIVREUR INTERNE ETC'!J$4</f>
        <v>0</v>
      </c>
      <c r="K19" s="6">
        <f>+'[1]LIVREUR INTERNE ETC'!K$4</f>
        <v>0</v>
      </c>
      <c r="L19" s="15">
        <f>+'[1]LIVREUR INTERNE ETC'!L$4</f>
        <v>0</v>
      </c>
      <c r="M19" s="6">
        <f>+'[1]LIVREUR INTERNE ETC'!M$4</f>
        <v>4400</v>
      </c>
      <c r="N19" s="21">
        <f>+'[1]LIVREUR INTERNE ETC'!Q$4</f>
        <v>0</v>
      </c>
      <c r="O19" s="6">
        <f t="shared" si="0"/>
        <v>-4400</v>
      </c>
    </row>
    <row r="20" spans="1:15">
      <c r="A20" s="5">
        <v>46038</v>
      </c>
      <c r="B20" s="6"/>
      <c r="C20" s="6"/>
      <c r="D20" s="6"/>
      <c r="E20" s="6"/>
      <c r="F20" s="6"/>
      <c r="G20" s="6"/>
      <c r="H20" s="6"/>
      <c r="I20" s="6"/>
      <c r="J20" s="21"/>
      <c r="K20" s="6"/>
      <c r="L20" s="15"/>
      <c r="M20" s="6"/>
      <c r="N20" s="21"/>
      <c r="O20" s="6">
        <f t="shared" si="0"/>
        <v>-4400</v>
      </c>
    </row>
    <row r="21" spans="1:15">
      <c r="A21" s="5">
        <v>46039</v>
      </c>
      <c r="B21" s="6"/>
      <c r="C21" s="6"/>
      <c r="D21" s="6"/>
      <c r="E21" s="6"/>
      <c r="F21" s="6"/>
      <c r="G21" s="6"/>
      <c r="H21" s="6"/>
      <c r="I21" s="6"/>
      <c r="J21" s="21"/>
      <c r="K21" s="6"/>
      <c r="L21" s="15"/>
      <c r="M21" s="6"/>
      <c r="N21" s="21"/>
      <c r="O21" s="6">
        <f t="shared" si="0"/>
        <v>-4400</v>
      </c>
    </row>
    <row r="22" spans="1:15">
      <c r="A22" s="5">
        <v>46040</v>
      </c>
      <c r="B22" s="6"/>
      <c r="C22" s="6"/>
      <c r="D22" s="6"/>
      <c r="E22" s="6"/>
      <c r="F22" s="6"/>
      <c r="G22" s="6"/>
      <c r="H22" s="6"/>
      <c r="I22" s="6"/>
      <c r="J22" s="21"/>
      <c r="K22" s="6"/>
      <c r="L22" s="15"/>
      <c r="M22" s="6"/>
      <c r="N22" s="21"/>
      <c r="O22" s="6">
        <f t="shared" si="0"/>
        <v>-4400</v>
      </c>
    </row>
    <row r="23" spans="1:15">
      <c r="A23" s="5">
        <v>46041</v>
      </c>
      <c r="B23" s="6"/>
      <c r="C23" s="6"/>
      <c r="D23" s="6"/>
      <c r="E23" s="6"/>
      <c r="F23" s="6"/>
      <c r="G23" s="6"/>
      <c r="H23" s="6"/>
      <c r="I23" s="6"/>
      <c r="J23" s="21"/>
      <c r="K23" s="6"/>
      <c r="L23" s="15"/>
      <c r="M23" s="6"/>
      <c r="N23" s="21"/>
      <c r="O23" s="6">
        <f t="shared" si="0"/>
        <v>-4400</v>
      </c>
    </row>
    <row r="24" spans="1:15">
      <c r="A24" s="5">
        <v>46042</v>
      </c>
      <c r="B24" s="6"/>
      <c r="C24" s="6"/>
      <c r="D24" s="6"/>
      <c r="E24" s="6"/>
      <c r="F24" s="6"/>
      <c r="G24" s="6"/>
      <c r="H24" s="6"/>
      <c r="I24" s="6"/>
      <c r="J24" s="21"/>
      <c r="K24" s="6"/>
      <c r="L24" s="15"/>
      <c r="M24" s="6"/>
      <c r="N24" s="21"/>
      <c r="O24" s="6">
        <f t="shared" si="0"/>
        <v>-4400</v>
      </c>
    </row>
    <row r="25" spans="1:15">
      <c r="A25" s="5">
        <v>46043</v>
      </c>
      <c r="B25" s="6"/>
      <c r="C25" s="6"/>
      <c r="D25" s="6"/>
      <c r="E25" s="6"/>
      <c r="F25" s="6"/>
      <c r="G25" s="6"/>
      <c r="H25" s="6"/>
      <c r="I25" s="6"/>
      <c r="J25" s="21"/>
      <c r="K25" s="6"/>
      <c r="L25" s="15"/>
      <c r="M25" s="6"/>
      <c r="N25" s="21"/>
      <c r="O25" s="6">
        <f t="shared" si="0"/>
        <v>-4400</v>
      </c>
    </row>
    <row r="26" spans="1:15">
      <c r="A26" s="5">
        <v>46044</v>
      </c>
      <c r="B26" s="6"/>
      <c r="C26" s="6"/>
      <c r="D26" s="6"/>
      <c r="E26" s="6"/>
      <c r="F26" s="6"/>
      <c r="G26" s="6"/>
      <c r="H26" s="6"/>
      <c r="I26" s="6"/>
      <c r="J26" s="21"/>
      <c r="K26" s="6"/>
      <c r="L26" s="15"/>
      <c r="M26" s="6"/>
      <c r="N26" s="21"/>
      <c r="O26" s="6">
        <f t="shared" si="0"/>
        <v>-4400</v>
      </c>
    </row>
    <row r="27" spans="1:15">
      <c r="A27" s="5">
        <v>46045</v>
      </c>
      <c r="B27" s="6"/>
      <c r="C27" s="6"/>
      <c r="D27" s="6"/>
      <c r="E27" s="6"/>
      <c r="F27" s="6"/>
      <c r="G27" s="6"/>
      <c r="H27" s="6"/>
      <c r="I27" s="6"/>
      <c r="J27" s="21"/>
      <c r="K27" s="6"/>
      <c r="L27" s="15"/>
      <c r="M27" s="6"/>
      <c r="N27" s="21"/>
      <c r="O27" s="6">
        <f t="shared" si="0"/>
        <v>-4400</v>
      </c>
    </row>
    <row r="28" spans="1:15">
      <c r="A28" s="5">
        <v>46046</v>
      </c>
      <c r="B28" s="6"/>
      <c r="C28" s="6"/>
      <c r="D28" s="6"/>
      <c r="E28" s="6"/>
      <c r="F28" s="6"/>
      <c r="G28" s="6"/>
      <c r="H28" s="6"/>
      <c r="I28" s="6"/>
      <c r="J28" s="21"/>
      <c r="K28" s="6"/>
      <c r="L28" s="15"/>
      <c r="M28" s="6"/>
      <c r="N28" s="21"/>
      <c r="O28" s="6">
        <f t="shared" si="0"/>
        <v>-4400</v>
      </c>
    </row>
    <row r="29" spans="1:15">
      <c r="A29" s="5">
        <v>46047</v>
      </c>
      <c r="B29" s="6"/>
      <c r="C29" s="6"/>
      <c r="D29" s="6"/>
      <c r="E29" s="6"/>
      <c r="F29" s="6"/>
      <c r="G29" s="6"/>
      <c r="H29" s="6"/>
      <c r="I29" s="6"/>
      <c r="J29" s="21"/>
      <c r="K29" s="6"/>
      <c r="L29" s="15"/>
      <c r="M29" s="6"/>
      <c r="N29" s="21"/>
      <c r="O29" s="6">
        <f t="shared" si="0"/>
        <v>-4400</v>
      </c>
    </row>
    <row r="30" spans="1:15">
      <c r="A30" s="5">
        <v>46048</v>
      </c>
      <c r="B30" s="6"/>
      <c r="C30" s="6"/>
      <c r="D30" s="6"/>
      <c r="E30" s="6"/>
      <c r="F30" s="6"/>
      <c r="G30" s="6"/>
      <c r="H30" s="6"/>
      <c r="I30" s="6"/>
      <c r="J30" s="21"/>
      <c r="K30" s="6"/>
      <c r="L30" s="15"/>
      <c r="M30" s="6"/>
      <c r="N30" s="21"/>
      <c r="O30" s="6">
        <f t="shared" si="0"/>
        <v>-4400</v>
      </c>
    </row>
    <row r="31" spans="1:15">
      <c r="A31" s="5">
        <v>46049</v>
      </c>
      <c r="B31" s="6"/>
      <c r="C31" s="6"/>
      <c r="D31" s="6"/>
      <c r="E31" s="6"/>
      <c r="F31" s="6"/>
      <c r="G31" s="6"/>
      <c r="H31" s="6"/>
      <c r="I31" s="6"/>
      <c r="J31" s="21"/>
      <c r="K31" s="6"/>
      <c r="L31" s="15"/>
      <c r="M31" s="6"/>
      <c r="N31" s="21"/>
      <c r="O31" s="6">
        <f t="shared" si="0"/>
        <v>-4400</v>
      </c>
    </row>
    <row r="32" spans="1:15">
      <c r="A32" s="5">
        <v>46050</v>
      </c>
      <c r="B32" s="6"/>
      <c r="C32" s="6"/>
      <c r="D32" s="6"/>
      <c r="E32" s="6"/>
      <c r="F32" s="6"/>
      <c r="G32" s="6"/>
      <c r="H32" s="6"/>
      <c r="I32" s="6"/>
      <c r="J32" s="21"/>
      <c r="K32" s="6"/>
      <c r="L32" s="15"/>
      <c r="M32" s="6"/>
      <c r="N32" s="21"/>
      <c r="O32" s="6">
        <f t="shared" si="0"/>
        <v>-4400</v>
      </c>
    </row>
    <row r="33" spans="1:15">
      <c r="A33" s="5">
        <v>46051</v>
      </c>
      <c r="B33" s="6"/>
      <c r="C33" s="6"/>
      <c r="D33" s="6"/>
      <c r="E33" s="6"/>
      <c r="F33" s="6"/>
      <c r="G33" s="6"/>
      <c r="H33" s="6"/>
      <c r="I33" s="6"/>
      <c r="J33" s="21"/>
      <c r="K33" s="6"/>
      <c r="L33" s="15"/>
      <c r="M33" s="6"/>
      <c r="N33" s="21"/>
      <c r="O33" s="6">
        <f t="shared" si="0"/>
        <v>-4400</v>
      </c>
    </row>
    <row r="34" spans="1:15">
      <c r="A34" s="5">
        <v>46052</v>
      </c>
      <c r="B34" s="6"/>
      <c r="C34" s="6"/>
      <c r="D34" s="6"/>
      <c r="E34" s="6"/>
      <c r="F34" s="6"/>
      <c r="G34" s="6"/>
      <c r="H34" s="6"/>
      <c r="I34" s="6"/>
      <c r="J34" s="21"/>
      <c r="K34" s="6"/>
      <c r="L34" s="15"/>
      <c r="M34" s="6"/>
      <c r="N34" s="21"/>
      <c r="O34" s="6">
        <f t="shared" si="0"/>
        <v>-4400</v>
      </c>
    </row>
    <row r="35" spans="1:15">
      <c r="A35" s="5">
        <v>46053</v>
      </c>
      <c r="B35" s="6"/>
      <c r="C35" s="6"/>
      <c r="D35" s="6"/>
      <c r="E35" s="6"/>
      <c r="F35" s="6"/>
      <c r="G35" s="6"/>
      <c r="H35" s="6"/>
      <c r="I35" s="6"/>
      <c r="J35" s="21"/>
      <c r="K35" s="6"/>
      <c r="L35" s="15"/>
      <c r="M35" s="6"/>
      <c r="N35" s="21"/>
      <c r="O35" s="6">
        <f t="shared" si="0"/>
        <v>-4400</v>
      </c>
    </row>
    <row r="36" spans="1:15" ht="15">
      <c r="A36" s="7" t="s">
        <v>10</v>
      </c>
      <c r="B36" s="8">
        <f>+SUM(B4:B35)</f>
        <v>0</v>
      </c>
      <c r="C36" s="8">
        <f t="shared" ref="C36:N36" si="1">+SUM(C4:C35)</f>
        <v>55</v>
      </c>
      <c r="D36" s="8">
        <f t="shared" si="1"/>
        <v>0</v>
      </c>
      <c r="E36" s="8">
        <f t="shared" si="1"/>
        <v>0</v>
      </c>
      <c r="F36" s="8">
        <f t="shared" si="1"/>
        <v>0</v>
      </c>
      <c r="G36" s="8">
        <f t="shared" si="1"/>
        <v>0</v>
      </c>
      <c r="H36" s="8">
        <f t="shared" si="1"/>
        <v>0</v>
      </c>
      <c r="I36" s="8">
        <f t="shared" si="1"/>
        <v>0</v>
      </c>
      <c r="J36" s="19">
        <f t="shared" si="1"/>
        <v>0</v>
      </c>
      <c r="K36" s="8">
        <f t="shared" si="1"/>
        <v>0</v>
      </c>
      <c r="L36" s="14">
        <f t="shared" si="1"/>
        <v>0</v>
      </c>
      <c r="M36" s="8">
        <f t="shared" si="1"/>
        <v>4400</v>
      </c>
      <c r="N36" s="19">
        <f t="shared" si="1"/>
        <v>0</v>
      </c>
      <c r="O36" s="8">
        <f>+M36-N36</f>
        <v>4400</v>
      </c>
    </row>
  </sheetData>
  <mergeCells count="7">
    <mergeCell ref="O2:O3"/>
    <mergeCell ref="A1:J1"/>
    <mergeCell ref="A2:A3"/>
    <mergeCell ref="B2:E2"/>
    <mergeCell ref="F2:J2"/>
    <mergeCell ref="M2:M3"/>
    <mergeCell ref="N2:N3"/>
  </mergeCells>
  <pageMargins left="0" right="0" top="0" bottom="0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L13" sqref="L13"/>
    </sheetView>
  </sheetViews>
  <sheetFormatPr baseColWidth="10" defaultRowHeight="14.25"/>
  <cols>
    <col min="1" max="1" width="13.625" bestFit="1" customWidth="1"/>
    <col min="2" max="2" width="5.125" bestFit="1" customWidth="1"/>
    <col min="3" max="3" width="5.375" bestFit="1" customWidth="1"/>
    <col min="4" max="9" width="5.125" bestFit="1" customWidth="1"/>
    <col min="10" max="10" width="5.25" style="23" customWidth="1"/>
    <col min="11" max="11" width="5.125" bestFit="1" customWidth="1"/>
    <col min="12" max="12" width="4.75" style="17" customWidth="1"/>
    <col min="13" max="13" width="9" bestFit="1" customWidth="1"/>
    <col min="14" max="14" width="9.25" style="23" bestFit="1" customWidth="1"/>
    <col min="15" max="15" width="7.875" bestFit="1" customWidth="1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L1" s="18"/>
      <c r="M1" s="13" t="s">
        <v>14</v>
      </c>
      <c r="N1" s="24"/>
      <c r="O1" s="12">
        <v>46204</v>
      </c>
    </row>
    <row r="2" spans="1:15">
      <c r="A2" s="44" t="s">
        <v>0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1" t="s">
        <v>3</v>
      </c>
      <c r="L2" s="25" t="s">
        <v>4</v>
      </c>
      <c r="M2" s="42" t="s">
        <v>5</v>
      </c>
      <c r="N2" s="41" t="s">
        <v>7</v>
      </c>
      <c r="O2" s="42" t="s">
        <v>8</v>
      </c>
    </row>
    <row r="3" spans="1:15" ht="22.5">
      <c r="A3" s="44"/>
      <c r="B3" s="1">
        <v>40</v>
      </c>
      <c r="C3" s="1">
        <v>80</v>
      </c>
      <c r="D3" s="1">
        <v>100</v>
      </c>
      <c r="E3" s="1">
        <v>160</v>
      </c>
      <c r="F3" s="1">
        <v>40</v>
      </c>
      <c r="G3" s="1">
        <v>80</v>
      </c>
      <c r="H3" s="1">
        <v>125</v>
      </c>
      <c r="I3" s="1">
        <v>160</v>
      </c>
      <c r="J3" s="20" t="s">
        <v>6</v>
      </c>
      <c r="K3" s="1">
        <v>80</v>
      </c>
      <c r="L3" s="1">
        <v>100</v>
      </c>
      <c r="M3" s="42"/>
      <c r="N3" s="41"/>
      <c r="O3" s="42"/>
    </row>
    <row r="4" spans="1:15">
      <c r="A4" s="4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0">
        <v>0</v>
      </c>
      <c r="K4" s="1">
        <v>0</v>
      </c>
      <c r="L4" s="1">
        <v>0</v>
      </c>
      <c r="M4" s="1">
        <v>0</v>
      </c>
      <c r="N4" s="20">
        <v>0</v>
      </c>
      <c r="O4" s="2">
        <v>0</v>
      </c>
    </row>
    <row r="5" spans="1:15">
      <c r="A5" s="5">
        <v>46023</v>
      </c>
      <c r="B5" s="6"/>
      <c r="C5" s="6"/>
      <c r="D5" s="6"/>
      <c r="E5" s="6"/>
      <c r="F5" s="6"/>
      <c r="G5" s="6"/>
      <c r="H5" s="6"/>
      <c r="I5" s="6"/>
      <c r="J5" s="21"/>
      <c r="K5" s="6"/>
      <c r="L5" s="15"/>
      <c r="M5" s="6"/>
      <c r="N5" s="21"/>
      <c r="O5" s="6">
        <f>N5-M5+O4</f>
        <v>0</v>
      </c>
    </row>
    <row r="6" spans="1:15">
      <c r="A6" s="5">
        <v>46024</v>
      </c>
      <c r="B6" s="6"/>
      <c r="C6" s="6"/>
      <c r="D6" s="6"/>
      <c r="E6" s="6"/>
      <c r="F6" s="6"/>
      <c r="G6" s="6"/>
      <c r="H6" s="6"/>
      <c r="I6" s="6"/>
      <c r="J6" s="21"/>
      <c r="K6" s="6"/>
      <c r="L6" s="15"/>
      <c r="M6" s="6"/>
      <c r="N6" s="21"/>
      <c r="O6" s="6">
        <f t="shared" ref="O6:O35" si="0">N6-M6+O5</f>
        <v>0</v>
      </c>
    </row>
    <row r="7" spans="1:15">
      <c r="A7" s="5">
        <v>46025</v>
      </c>
      <c r="B7" s="6"/>
      <c r="C7" s="6"/>
      <c r="D7" s="6"/>
      <c r="E7" s="6"/>
      <c r="F7" s="6"/>
      <c r="G7" s="6"/>
      <c r="H7" s="6"/>
      <c r="I7" s="6"/>
      <c r="J7" s="21"/>
      <c r="K7" s="6"/>
      <c r="L7" s="15"/>
      <c r="M7" s="6"/>
      <c r="N7" s="21"/>
      <c r="O7" s="6">
        <f t="shared" si="0"/>
        <v>0</v>
      </c>
    </row>
    <row r="8" spans="1:15">
      <c r="A8" s="5">
        <v>46026</v>
      </c>
      <c r="B8" s="6"/>
      <c r="C8" s="6"/>
      <c r="D8" s="6"/>
      <c r="E8" s="6"/>
      <c r="F8" s="6"/>
      <c r="G8" s="6"/>
      <c r="H8" s="6"/>
      <c r="I8" s="6"/>
      <c r="J8" s="21"/>
      <c r="K8" s="6"/>
      <c r="L8" s="15"/>
      <c r="M8" s="6"/>
      <c r="N8" s="21"/>
      <c r="O8" s="6">
        <f t="shared" si="0"/>
        <v>0</v>
      </c>
    </row>
    <row r="9" spans="1:15">
      <c r="A9" s="5">
        <v>46027</v>
      </c>
      <c r="B9" s="6"/>
      <c r="C9" s="6"/>
      <c r="D9" s="6"/>
      <c r="E9" s="6"/>
      <c r="F9" s="6"/>
      <c r="G9" s="6"/>
      <c r="H9" s="6"/>
      <c r="I9" s="6"/>
      <c r="J9" s="21"/>
      <c r="K9" s="6"/>
      <c r="L9" s="15"/>
      <c r="M9" s="6"/>
      <c r="N9" s="21"/>
      <c r="O9" s="6">
        <f t="shared" si="0"/>
        <v>0</v>
      </c>
    </row>
    <row r="10" spans="1:15">
      <c r="A10" s="5">
        <v>46028</v>
      </c>
      <c r="B10" s="6"/>
      <c r="C10" s="6"/>
      <c r="D10" s="6"/>
      <c r="E10" s="6"/>
      <c r="F10" s="6"/>
      <c r="G10" s="6"/>
      <c r="H10" s="6"/>
      <c r="I10" s="6"/>
      <c r="J10" s="21"/>
      <c r="K10" s="6"/>
      <c r="L10" s="15"/>
      <c r="M10" s="6"/>
      <c r="N10" s="21"/>
      <c r="O10" s="6">
        <f t="shared" si="0"/>
        <v>0</v>
      </c>
    </row>
    <row r="11" spans="1:15">
      <c r="A11" s="5">
        <v>46029</v>
      </c>
      <c r="B11" s="6"/>
      <c r="C11" s="6"/>
      <c r="D11" s="6"/>
      <c r="E11" s="6"/>
      <c r="F11" s="6"/>
      <c r="G11" s="6"/>
      <c r="H11" s="6"/>
      <c r="I11" s="6"/>
      <c r="J11" s="21"/>
      <c r="K11" s="6"/>
      <c r="L11" s="15"/>
      <c r="M11" s="6"/>
      <c r="N11" s="21"/>
      <c r="O11" s="6">
        <f t="shared" si="0"/>
        <v>0</v>
      </c>
    </row>
    <row r="12" spans="1:15">
      <c r="A12" s="5">
        <v>46030</v>
      </c>
      <c r="B12" s="6"/>
      <c r="C12" s="6"/>
      <c r="D12" s="6"/>
      <c r="E12" s="6"/>
      <c r="F12" s="6"/>
      <c r="G12" s="6"/>
      <c r="H12" s="6"/>
      <c r="I12" s="6"/>
      <c r="J12" s="21"/>
      <c r="K12" s="6"/>
      <c r="L12" s="15"/>
      <c r="M12" s="6"/>
      <c r="N12" s="21"/>
      <c r="O12" s="6">
        <f t="shared" si="0"/>
        <v>0</v>
      </c>
    </row>
    <row r="13" spans="1:15">
      <c r="A13" s="5">
        <v>46031</v>
      </c>
      <c r="B13" s="6"/>
      <c r="C13" s="6"/>
      <c r="D13" s="6"/>
      <c r="E13" s="6"/>
      <c r="F13" s="6"/>
      <c r="G13" s="6"/>
      <c r="H13" s="6"/>
      <c r="I13" s="6"/>
      <c r="J13" s="21"/>
      <c r="K13" s="6"/>
      <c r="L13" s="15"/>
      <c r="M13" s="6"/>
      <c r="N13" s="21"/>
      <c r="O13" s="6">
        <f t="shared" si="0"/>
        <v>0</v>
      </c>
    </row>
    <row r="14" spans="1:15">
      <c r="A14" s="5">
        <v>46032</v>
      </c>
      <c r="B14" s="6"/>
      <c r="C14" s="6"/>
      <c r="D14" s="6"/>
      <c r="E14" s="6"/>
      <c r="F14" s="6"/>
      <c r="G14" s="6"/>
      <c r="H14" s="6"/>
      <c r="I14" s="6"/>
      <c r="J14" s="21"/>
      <c r="K14" s="6"/>
      <c r="L14" s="15"/>
      <c r="M14" s="6"/>
      <c r="N14" s="21"/>
      <c r="O14" s="6">
        <f t="shared" si="0"/>
        <v>0</v>
      </c>
    </row>
    <row r="15" spans="1:15">
      <c r="A15" s="5">
        <v>46033</v>
      </c>
      <c r="B15" s="6"/>
      <c r="C15" s="6"/>
      <c r="D15" s="6"/>
      <c r="E15" s="6"/>
      <c r="F15" s="6"/>
      <c r="G15" s="6"/>
      <c r="H15" s="6"/>
      <c r="I15" s="6"/>
      <c r="J15" s="21"/>
      <c r="K15" s="6"/>
      <c r="L15" s="15"/>
      <c r="M15" s="6"/>
      <c r="N15" s="21"/>
      <c r="O15" s="6">
        <f t="shared" si="0"/>
        <v>0</v>
      </c>
    </row>
    <row r="16" spans="1:15">
      <c r="A16" s="5">
        <v>46034</v>
      </c>
      <c r="B16" s="6"/>
      <c r="C16" s="6"/>
      <c r="D16" s="6"/>
      <c r="E16" s="6"/>
      <c r="F16" s="6"/>
      <c r="G16" s="6"/>
      <c r="H16" s="6"/>
      <c r="I16" s="6"/>
      <c r="J16" s="21"/>
      <c r="K16" s="6"/>
      <c r="L16" s="15"/>
      <c r="M16" s="6"/>
      <c r="N16" s="21"/>
      <c r="O16" s="6">
        <f t="shared" si="0"/>
        <v>0</v>
      </c>
    </row>
    <row r="17" spans="1:15">
      <c r="A17" s="5">
        <v>46035</v>
      </c>
      <c r="B17" s="6"/>
      <c r="C17" s="6"/>
      <c r="D17" s="6"/>
      <c r="E17" s="6"/>
      <c r="F17" s="6"/>
      <c r="G17" s="6"/>
      <c r="H17" s="6"/>
      <c r="I17" s="6"/>
      <c r="J17" s="21"/>
      <c r="K17" s="6"/>
      <c r="L17" s="15"/>
      <c r="M17" s="6"/>
      <c r="N17" s="21"/>
      <c r="O17" s="6">
        <f t="shared" si="0"/>
        <v>0</v>
      </c>
    </row>
    <row r="18" spans="1:15">
      <c r="A18" s="5">
        <v>46036</v>
      </c>
      <c r="B18" s="6"/>
      <c r="C18" s="6"/>
      <c r="D18" s="6"/>
      <c r="E18" s="6"/>
      <c r="F18" s="6"/>
      <c r="G18" s="6"/>
      <c r="H18" s="6"/>
      <c r="I18" s="6"/>
      <c r="J18" s="21"/>
      <c r="K18" s="6"/>
      <c r="L18" s="15"/>
      <c r="M18" s="6"/>
      <c r="N18" s="21"/>
      <c r="O18" s="6">
        <f t="shared" si="0"/>
        <v>0</v>
      </c>
    </row>
    <row r="19" spans="1:15">
      <c r="A19" s="5">
        <v>46037</v>
      </c>
      <c r="B19" s="6">
        <f>+'[1]LIVREUR INTERNE ETC'!B$5</f>
        <v>0</v>
      </c>
      <c r="C19" s="6">
        <f>+'[1]LIVREUR INTERNE ETC'!C$5</f>
        <v>505</v>
      </c>
      <c r="D19" s="6">
        <f>+'[1]LIVREUR INTERNE ETC'!D$5</f>
        <v>0</v>
      </c>
      <c r="E19" s="6">
        <f>+'[1]LIVREUR INTERNE ETC'!E$5</f>
        <v>0</v>
      </c>
      <c r="F19" s="6">
        <f>+'[1]LIVREUR INTERNE ETC'!F$5</f>
        <v>0</v>
      </c>
      <c r="G19" s="6">
        <f>+'[1]LIVREUR INTERNE ETC'!G$5</f>
        <v>0</v>
      </c>
      <c r="H19" s="6">
        <f>+'[1]LIVREUR INTERNE ETC'!H$5</f>
        <v>0</v>
      </c>
      <c r="I19" s="6">
        <f>+'[1]LIVREUR INTERNE ETC'!I$5</f>
        <v>0</v>
      </c>
      <c r="J19" s="21">
        <f>+'[1]LIVREUR INTERNE ETC'!J$5</f>
        <v>0</v>
      </c>
      <c r="K19" s="6">
        <f>+'[1]LIVREUR INTERNE ETC'!K$5</f>
        <v>0</v>
      </c>
      <c r="L19" s="15">
        <f>+'[1]LIVREUR INTERNE ETC'!L$5</f>
        <v>0</v>
      </c>
      <c r="M19" s="6">
        <f>+'[1]LIVREUR INTERNE ETC'!M$5</f>
        <v>40400</v>
      </c>
      <c r="N19" s="21">
        <f>+'[1]LIVREUR INTERNE ETC'!Q$5</f>
        <v>0</v>
      </c>
      <c r="O19" s="6">
        <f t="shared" si="0"/>
        <v>-40400</v>
      </c>
    </row>
    <row r="20" spans="1:15">
      <c r="A20" s="5">
        <v>46038</v>
      </c>
      <c r="B20" s="6"/>
      <c r="C20" s="6"/>
      <c r="D20" s="6"/>
      <c r="E20" s="6"/>
      <c r="F20" s="6"/>
      <c r="G20" s="6"/>
      <c r="H20" s="6"/>
      <c r="I20" s="6"/>
      <c r="J20" s="21"/>
      <c r="K20" s="6"/>
      <c r="L20" s="15"/>
      <c r="M20" s="6"/>
      <c r="N20" s="21"/>
      <c r="O20" s="6">
        <f t="shared" si="0"/>
        <v>-40400</v>
      </c>
    </row>
    <row r="21" spans="1:15">
      <c r="A21" s="5">
        <v>46039</v>
      </c>
      <c r="B21" s="6"/>
      <c r="C21" s="6"/>
      <c r="D21" s="6"/>
      <c r="E21" s="6"/>
      <c r="F21" s="6"/>
      <c r="G21" s="6"/>
      <c r="H21" s="6"/>
      <c r="I21" s="6"/>
      <c r="J21" s="21"/>
      <c r="K21" s="6"/>
      <c r="L21" s="15"/>
      <c r="M21" s="6"/>
      <c r="N21" s="21"/>
      <c r="O21" s="6">
        <f t="shared" si="0"/>
        <v>-40400</v>
      </c>
    </row>
    <row r="22" spans="1:15">
      <c r="A22" s="5">
        <v>46040</v>
      </c>
      <c r="B22" s="6"/>
      <c r="C22" s="6"/>
      <c r="D22" s="6"/>
      <c r="E22" s="6"/>
      <c r="F22" s="6"/>
      <c r="G22" s="6"/>
      <c r="H22" s="6"/>
      <c r="I22" s="6"/>
      <c r="J22" s="21"/>
      <c r="K22" s="6"/>
      <c r="L22" s="15"/>
      <c r="M22" s="6"/>
      <c r="N22" s="21"/>
      <c r="O22" s="6">
        <f t="shared" si="0"/>
        <v>-40400</v>
      </c>
    </row>
    <row r="23" spans="1:15">
      <c r="A23" s="5">
        <v>46041</v>
      </c>
      <c r="B23" s="6"/>
      <c r="C23" s="6"/>
      <c r="D23" s="6"/>
      <c r="E23" s="6"/>
      <c r="F23" s="6"/>
      <c r="G23" s="6"/>
      <c r="H23" s="6"/>
      <c r="I23" s="6"/>
      <c r="J23" s="21"/>
      <c r="K23" s="6"/>
      <c r="L23" s="15"/>
      <c r="M23" s="6"/>
      <c r="N23" s="21"/>
      <c r="O23" s="6">
        <f t="shared" si="0"/>
        <v>-40400</v>
      </c>
    </row>
    <row r="24" spans="1:15">
      <c r="A24" s="5">
        <v>46042</v>
      </c>
      <c r="B24" s="6"/>
      <c r="C24" s="6"/>
      <c r="D24" s="6"/>
      <c r="E24" s="6"/>
      <c r="F24" s="6"/>
      <c r="G24" s="6"/>
      <c r="H24" s="6"/>
      <c r="I24" s="6"/>
      <c r="J24" s="21"/>
      <c r="K24" s="6"/>
      <c r="L24" s="15"/>
      <c r="M24" s="6"/>
      <c r="N24" s="21"/>
      <c r="O24" s="6">
        <f t="shared" si="0"/>
        <v>-40400</v>
      </c>
    </row>
    <row r="25" spans="1:15">
      <c r="A25" s="5">
        <v>46043</v>
      </c>
      <c r="B25" s="6"/>
      <c r="C25" s="6"/>
      <c r="D25" s="6"/>
      <c r="E25" s="6"/>
      <c r="F25" s="6"/>
      <c r="G25" s="6"/>
      <c r="H25" s="6"/>
      <c r="I25" s="6"/>
      <c r="J25" s="21"/>
      <c r="K25" s="6"/>
      <c r="L25" s="15"/>
      <c r="M25" s="6"/>
      <c r="N25" s="21"/>
      <c r="O25" s="6">
        <f t="shared" si="0"/>
        <v>-40400</v>
      </c>
    </row>
    <row r="26" spans="1:15">
      <c r="A26" s="5">
        <v>46044</v>
      </c>
      <c r="B26" s="6"/>
      <c r="C26" s="6"/>
      <c r="D26" s="6"/>
      <c r="E26" s="6"/>
      <c r="F26" s="6"/>
      <c r="G26" s="6"/>
      <c r="H26" s="6"/>
      <c r="I26" s="6"/>
      <c r="J26" s="21"/>
      <c r="K26" s="6"/>
      <c r="L26" s="15"/>
      <c r="M26" s="6"/>
      <c r="N26" s="21"/>
      <c r="O26" s="6">
        <f t="shared" si="0"/>
        <v>-40400</v>
      </c>
    </row>
    <row r="27" spans="1:15">
      <c r="A27" s="5">
        <v>46045</v>
      </c>
      <c r="B27" s="6"/>
      <c r="C27" s="6"/>
      <c r="D27" s="6"/>
      <c r="E27" s="6"/>
      <c r="F27" s="6"/>
      <c r="G27" s="6"/>
      <c r="H27" s="6"/>
      <c r="I27" s="6"/>
      <c r="J27" s="21"/>
      <c r="K27" s="6"/>
      <c r="L27" s="15"/>
      <c r="M27" s="6"/>
      <c r="N27" s="21"/>
      <c r="O27" s="6">
        <f t="shared" si="0"/>
        <v>-40400</v>
      </c>
    </row>
    <row r="28" spans="1:15">
      <c r="A28" s="5">
        <v>46046</v>
      </c>
      <c r="B28" s="6"/>
      <c r="C28" s="6"/>
      <c r="D28" s="6"/>
      <c r="E28" s="6"/>
      <c r="F28" s="6"/>
      <c r="G28" s="6"/>
      <c r="H28" s="6"/>
      <c r="I28" s="6"/>
      <c r="J28" s="21"/>
      <c r="K28" s="6"/>
      <c r="L28" s="15"/>
      <c r="M28" s="6"/>
      <c r="N28" s="21"/>
      <c r="O28" s="6">
        <f t="shared" si="0"/>
        <v>-40400</v>
      </c>
    </row>
    <row r="29" spans="1:15">
      <c r="A29" s="5">
        <v>46047</v>
      </c>
      <c r="B29" s="6"/>
      <c r="C29" s="6"/>
      <c r="D29" s="6"/>
      <c r="E29" s="6"/>
      <c r="F29" s="6"/>
      <c r="G29" s="6"/>
      <c r="H29" s="6"/>
      <c r="I29" s="6"/>
      <c r="J29" s="21"/>
      <c r="K29" s="6"/>
      <c r="L29" s="15"/>
      <c r="M29" s="6"/>
      <c r="N29" s="21"/>
      <c r="O29" s="6">
        <f t="shared" si="0"/>
        <v>-40400</v>
      </c>
    </row>
    <row r="30" spans="1:15">
      <c r="A30" s="5">
        <v>46048</v>
      </c>
      <c r="B30" s="6"/>
      <c r="C30" s="6"/>
      <c r="D30" s="6"/>
      <c r="E30" s="6"/>
      <c r="F30" s="6"/>
      <c r="G30" s="6"/>
      <c r="H30" s="6"/>
      <c r="I30" s="6"/>
      <c r="J30" s="21"/>
      <c r="K30" s="6"/>
      <c r="L30" s="15"/>
      <c r="M30" s="6"/>
      <c r="N30" s="21"/>
      <c r="O30" s="6">
        <f t="shared" si="0"/>
        <v>-40400</v>
      </c>
    </row>
    <row r="31" spans="1:15">
      <c r="A31" s="5">
        <v>46049</v>
      </c>
      <c r="B31" s="6"/>
      <c r="C31" s="6"/>
      <c r="D31" s="6"/>
      <c r="E31" s="6"/>
      <c r="F31" s="6"/>
      <c r="G31" s="6"/>
      <c r="H31" s="6"/>
      <c r="I31" s="6"/>
      <c r="J31" s="21"/>
      <c r="K31" s="6"/>
      <c r="L31" s="15"/>
      <c r="M31" s="6"/>
      <c r="N31" s="21"/>
      <c r="O31" s="6">
        <f t="shared" si="0"/>
        <v>-40400</v>
      </c>
    </row>
    <row r="32" spans="1:15">
      <c r="A32" s="5">
        <v>46050</v>
      </c>
      <c r="B32" s="6"/>
      <c r="C32" s="6"/>
      <c r="D32" s="6"/>
      <c r="E32" s="6"/>
      <c r="F32" s="6"/>
      <c r="G32" s="6"/>
      <c r="H32" s="6"/>
      <c r="I32" s="6"/>
      <c r="J32" s="21"/>
      <c r="K32" s="6"/>
      <c r="L32" s="15"/>
      <c r="M32" s="6"/>
      <c r="N32" s="21"/>
      <c r="O32" s="6">
        <f t="shared" si="0"/>
        <v>-40400</v>
      </c>
    </row>
    <row r="33" spans="1:15">
      <c r="A33" s="5">
        <v>46051</v>
      </c>
      <c r="B33" s="6"/>
      <c r="C33" s="6"/>
      <c r="D33" s="6"/>
      <c r="E33" s="6"/>
      <c r="F33" s="6"/>
      <c r="G33" s="6"/>
      <c r="H33" s="6"/>
      <c r="I33" s="6"/>
      <c r="J33" s="21"/>
      <c r="K33" s="6"/>
      <c r="L33" s="15"/>
      <c r="M33" s="6"/>
      <c r="N33" s="21"/>
      <c r="O33" s="6">
        <f t="shared" si="0"/>
        <v>-40400</v>
      </c>
    </row>
    <row r="34" spans="1:15">
      <c r="A34" s="5">
        <v>46052</v>
      </c>
      <c r="B34" s="6"/>
      <c r="C34" s="6"/>
      <c r="D34" s="6"/>
      <c r="E34" s="6"/>
      <c r="F34" s="6"/>
      <c r="G34" s="6"/>
      <c r="H34" s="6"/>
      <c r="I34" s="6"/>
      <c r="J34" s="21"/>
      <c r="K34" s="6"/>
      <c r="L34" s="15"/>
      <c r="M34" s="6"/>
      <c r="N34" s="21"/>
      <c r="O34" s="6">
        <f t="shared" si="0"/>
        <v>-40400</v>
      </c>
    </row>
    <row r="35" spans="1:15">
      <c r="A35" s="5">
        <v>46053</v>
      </c>
      <c r="B35" s="6"/>
      <c r="C35" s="6"/>
      <c r="D35" s="6"/>
      <c r="E35" s="6"/>
      <c r="F35" s="6"/>
      <c r="G35" s="6"/>
      <c r="H35" s="6"/>
      <c r="I35" s="6"/>
      <c r="J35" s="21"/>
      <c r="K35" s="6"/>
      <c r="L35" s="15"/>
      <c r="M35" s="6"/>
      <c r="N35" s="21"/>
      <c r="O35" s="6">
        <f t="shared" si="0"/>
        <v>-40400</v>
      </c>
    </row>
    <row r="36" spans="1:15" ht="15">
      <c r="A36" s="7" t="s">
        <v>10</v>
      </c>
      <c r="B36" s="8">
        <f>+SUM(B4:B35)</f>
        <v>0</v>
      </c>
      <c r="C36" s="8">
        <f t="shared" ref="C36:N36" si="1">+SUM(C4:C35)</f>
        <v>505</v>
      </c>
      <c r="D36" s="8">
        <f t="shared" si="1"/>
        <v>0</v>
      </c>
      <c r="E36" s="8">
        <f t="shared" si="1"/>
        <v>0</v>
      </c>
      <c r="F36" s="8">
        <f t="shared" si="1"/>
        <v>0</v>
      </c>
      <c r="G36" s="8">
        <f t="shared" si="1"/>
        <v>0</v>
      </c>
      <c r="H36" s="8">
        <f t="shared" si="1"/>
        <v>0</v>
      </c>
      <c r="I36" s="8">
        <f t="shared" si="1"/>
        <v>0</v>
      </c>
      <c r="J36" s="19">
        <f t="shared" si="1"/>
        <v>0</v>
      </c>
      <c r="K36" s="8">
        <f t="shared" si="1"/>
        <v>0</v>
      </c>
      <c r="L36" s="14">
        <f t="shared" si="1"/>
        <v>0</v>
      </c>
      <c r="M36" s="8">
        <f t="shared" si="1"/>
        <v>40400</v>
      </c>
      <c r="N36" s="19">
        <f t="shared" si="1"/>
        <v>0</v>
      </c>
      <c r="O36" s="8">
        <f>+M36-N36</f>
        <v>40400</v>
      </c>
    </row>
  </sheetData>
  <mergeCells count="7">
    <mergeCell ref="O2:O3"/>
    <mergeCell ref="A1:J1"/>
    <mergeCell ref="A2:A3"/>
    <mergeCell ref="B2:E2"/>
    <mergeCell ref="F2:J2"/>
    <mergeCell ref="M2:M3"/>
    <mergeCell ref="N2:N3"/>
  </mergeCells>
  <pageMargins left="0" right="0" top="0" bottom="0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N6" sqref="N6"/>
    </sheetView>
  </sheetViews>
  <sheetFormatPr baseColWidth="10" defaultRowHeight="14.25"/>
  <cols>
    <col min="1" max="1" width="13.625" bestFit="1" customWidth="1"/>
    <col min="2" max="2" width="5.375" bestFit="1" customWidth="1"/>
    <col min="3" max="3" width="6.875" bestFit="1" customWidth="1"/>
    <col min="4" max="5" width="4.375" bestFit="1" customWidth="1"/>
    <col min="6" max="9" width="5.125" bestFit="1" customWidth="1"/>
    <col min="10" max="10" width="5.25" style="23" customWidth="1"/>
    <col min="11" max="11" width="5.125" bestFit="1" customWidth="1"/>
    <col min="12" max="12" width="4.75" style="17" customWidth="1"/>
    <col min="13" max="13" width="8.875" bestFit="1" customWidth="1"/>
    <col min="14" max="14" width="9.25" style="23" bestFit="1" customWidth="1"/>
    <col min="15" max="15" width="8.875" bestFit="1" customWidth="1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L1" s="18"/>
      <c r="M1" s="13" t="s">
        <v>18</v>
      </c>
      <c r="N1" s="24"/>
      <c r="O1" s="12">
        <v>46204</v>
      </c>
    </row>
    <row r="2" spans="1:15">
      <c r="A2" s="44" t="s">
        <v>0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1" t="s">
        <v>3</v>
      </c>
      <c r="L2" s="25" t="s">
        <v>4</v>
      </c>
      <c r="M2" s="42" t="s">
        <v>5</v>
      </c>
      <c r="N2" s="41" t="s">
        <v>7</v>
      </c>
      <c r="O2" s="42" t="s">
        <v>8</v>
      </c>
    </row>
    <row r="3" spans="1:15" ht="22.5">
      <c r="A3" s="44"/>
      <c r="B3" s="1">
        <v>40</v>
      </c>
      <c r="C3" s="1">
        <v>80</v>
      </c>
      <c r="D3" s="1">
        <v>100</v>
      </c>
      <c r="E3" s="1">
        <v>160</v>
      </c>
      <c r="F3" s="1">
        <v>40</v>
      </c>
      <c r="G3" s="1">
        <v>80</v>
      </c>
      <c r="H3" s="1">
        <v>125</v>
      </c>
      <c r="I3" s="1">
        <v>160</v>
      </c>
      <c r="J3" s="20" t="s">
        <v>6</v>
      </c>
      <c r="K3" s="1">
        <v>80</v>
      </c>
      <c r="L3" s="1">
        <v>100</v>
      </c>
      <c r="M3" s="42"/>
      <c r="N3" s="41"/>
      <c r="O3" s="42"/>
    </row>
    <row r="4" spans="1:15">
      <c r="A4" s="4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0">
        <v>0</v>
      </c>
      <c r="K4" s="1">
        <v>0</v>
      </c>
      <c r="L4" s="1">
        <v>0</v>
      </c>
      <c r="M4" s="1">
        <v>0</v>
      </c>
      <c r="N4" s="20">
        <v>0</v>
      </c>
      <c r="O4" s="2">
        <v>0</v>
      </c>
    </row>
    <row r="5" spans="1:15">
      <c r="A5" s="5">
        <v>46023</v>
      </c>
      <c r="B5" s="6"/>
      <c r="C5" s="6"/>
      <c r="D5" s="6"/>
      <c r="E5" s="6"/>
      <c r="F5" s="6"/>
      <c r="G5" s="6"/>
      <c r="H5" s="6"/>
      <c r="I5" s="6"/>
      <c r="J5" s="21"/>
      <c r="K5" s="6"/>
      <c r="L5" s="15"/>
      <c r="M5" s="6"/>
      <c r="N5" s="21"/>
      <c r="O5" s="6">
        <f>N5-M5+O4</f>
        <v>0</v>
      </c>
    </row>
    <row r="6" spans="1:15">
      <c r="A6" s="5">
        <v>46024</v>
      </c>
      <c r="B6" s="6"/>
      <c r="C6" s="6"/>
      <c r="D6" s="6"/>
      <c r="E6" s="6"/>
      <c r="F6" s="6"/>
      <c r="G6" s="6"/>
      <c r="H6" s="6"/>
      <c r="I6" s="6"/>
      <c r="J6" s="21"/>
      <c r="K6" s="6"/>
      <c r="L6" s="15"/>
      <c r="M6" s="6"/>
      <c r="N6" s="21"/>
      <c r="O6" s="6">
        <f t="shared" ref="O6:O35" si="0">N6-M6+O5</f>
        <v>0</v>
      </c>
    </row>
    <row r="7" spans="1:15">
      <c r="A7" s="5">
        <v>46025</v>
      </c>
      <c r="B7" s="6"/>
      <c r="C7" s="6"/>
      <c r="D7" s="6"/>
      <c r="E7" s="6"/>
      <c r="F7" s="6"/>
      <c r="G7" s="6"/>
      <c r="H7" s="6"/>
      <c r="I7" s="6"/>
      <c r="J7" s="21"/>
      <c r="K7" s="6"/>
      <c r="L7" s="15"/>
      <c r="M7" s="6"/>
      <c r="N7" s="21"/>
      <c r="O7" s="6">
        <f t="shared" si="0"/>
        <v>0</v>
      </c>
    </row>
    <row r="8" spans="1:15">
      <c r="A8" s="5">
        <v>46026</v>
      </c>
      <c r="B8" s="6"/>
      <c r="C8" s="6"/>
      <c r="D8" s="6"/>
      <c r="E8" s="6"/>
      <c r="F8" s="6"/>
      <c r="G8" s="6"/>
      <c r="H8" s="6"/>
      <c r="I8" s="6"/>
      <c r="J8" s="21"/>
      <c r="K8" s="6"/>
      <c r="L8" s="15"/>
      <c r="M8" s="6"/>
      <c r="N8" s="21"/>
      <c r="O8" s="6">
        <f t="shared" si="0"/>
        <v>0</v>
      </c>
    </row>
    <row r="9" spans="1:15">
      <c r="A9" s="5">
        <v>46027</v>
      </c>
      <c r="B9" s="6"/>
      <c r="C9" s="6"/>
      <c r="D9" s="6"/>
      <c r="E9" s="6"/>
      <c r="F9" s="6"/>
      <c r="G9" s="6"/>
      <c r="H9" s="6"/>
      <c r="I9" s="6"/>
      <c r="J9" s="21"/>
      <c r="K9" s="6"/>
      <c r="L9" s="15"/>
      <c r="M9" s="6"/>
      <c r="N9" s="21"/>
      <c r="O9" s="6">
        <f t="shared" si="0"/>
        <v>0</v>
      </c>
    </row>
    <row r="10" spans="1:15">
      <c r="A10" s="5">
        <v>46028</v>
      </c>
      <c r="B10" s="6"/>
      <c r="C10" s="6"/>
      <c r="D10" s="6"/>
      <c r="E10" s="6"/>
      <c r="F10" s="6"/>
      <c r="G10" s="6"/>
      <c r="H10" s="6"/>
      <c r="I10" s="6"/>
      <c r="J10" s="21"/>
      <c r="K10" s="6"/>
      <c r="L10" s="15"/>
      <c r="M10" s="6"/>
      <c r="N10" s="21"/>
      <c r="O10" s="6">
        <f t="shared" si="0"/>
        <v>0</v>
      </c>
    </row>
    <row r="11" spans="1:15">
      <c r="A11" s="5">
        <v>46029</v>
      </c>
      <c r="B11" s="6"/>
      <c r="C11" s="6"/>
      <c r="D11" s="6"/>
      <c r="E11" s="6"/>
      <c r="F11" s="6"/>
      <c r="G11" s="6"/>
      <c r="H11" s="6"/>
      <c r="I11" s="6"/>
      <c r="J11" s="21"/>
      <c r="K11" s="6"/>
      <c r="L11" s="15"/>
      <c r="M11" s="6"/>
      <c r="N11" s="21"/>
      <c r="O11" s="6">
        <f t="shared" si="0"/>
        <v>0</v>
      </c>
    </row>
    <row r="12" spans="1:15">
      <c r="A12" s="5">
        <v>46030</v>
      </c>
      <c r="B12" s="6"/>
      <c r="C12" s="6"/>
      <c r="D12" s="6"/>
      <c r="E12" s="6"/>
      <c r="F12" s="6"/>
      <c r="G12" s="6"/>
      <c r="H12" s="6"/>
      <c r="I12" s="6"/>
      <c r="J12" s="21"/>
      <c r="K12" s="6"/>
      <c r="L12" s="15"/>
      <c r="M12" s="6"/>
      <c r="N12" s="21"/>
      <c r="O12" s="6">
        <f t="shared" si="0"/>
        <v>0</v>
      </c>
    </row>
    <row r="13" spans="1:15">
      <c r="A13" s="5">
        <v>46031</v>
      </c>
      <c r="B13" s="6"/>
      <c r="C13" s="6"/>
      <c r="D13" s="6"/>
      <c r="E13" s="6"/>
      <c r="F13" s="6"/>
      <c r="G13" s="6"/>
      <c r="H13" s="6"/>
      <c r="I13" s="6"/>
      <c r="J13" s="21"/>
      <c r="K13" s="6"/>
      <c r="L13" s="15"/>
      <c r="M13" s="6"/>
      <c r="N13" s="21"/>
      <c r="O13" s="6">
        <f t="shared" si="0"/>
        <v>0</v>
      </c>
    </row>
    <row r="14" spans="1:15">
      <c r="A14" s="5">
        <v>46032</v>
      </c>
      <c r="B14" s="6"/>
      <c r="C14" s="6"/>
      <c r="D14" s="6"/>
      <c r="E14" s="6"/>
      <c r="F14" s="6"/>
      <c r="G14" s="6"/>
      <c r="H14" s="6"/>
      <c r="I14" s="6"/>
      <c r="J14" s="21"/>
      <c r="K14" s="6"/>
      <c r="L14" s="15"/>
      <c r="M14" s="6"/>
      <c r="N14" s="21"/>
      <c r="O14" s="6">
        <f t="shared" si="0"/>
        <v>0</v>
      </c>
    </row>
    <row r="15" spans="1:15">
      <c r="A15" s="5">
        <v>46033</v>
      </c>
      <c r="B15" s="6"/>
      <c r="C15" s="6"/>
      <c r="D15" s="6"/>
      <c r="E15" s="6"/>
      <c r="F15" s="6"/>
      <c r="G15" s="6"/>
      <c r="H15" s="6"/>
      <c r="I15" s="6"/>
      <c r="J15" s="21"/>
      <c r="K15" s="6"/>
      <c r="L15" s="15"/>
      <c r="M15" s="6"/>
      <c r="N15" s="21"/>
      <c r="O15" s="6">
        <f t="shared" si="0"/>
        <v>0</v>
      </c>
    </row>
    <row r="16" spans="1:15">
      <c r="A16" s="5">
        <v>46034</v>
      </c>
      <c r="B16" s="6"/>
      <c r="C16" s="6"/>
      <c r="D16" s="6"/>
      <c r="E16" s="6"/>
      <c r="F16" s="6"/>
      <c r="G16" s="6"/>
      <c r="H16" s="6"/>
      <c r="I16" s="6"/>
      <c r="J16" s="21"/>
      <c r="K16" s="6"/>
      <c r="L16" s="15"/>
      <c r="M16" s="6"/>
      <c r="N16" s="21"/>
      <c r="O16" s="6">
        <f t="shared" si="0"/>
        <v>0</v>
      </c>
    </row>
    <row r="17" spans="1:15">
      <c r="A17" s="5">
        <v>46035</v>
      </c>
      <c r="B17" s="6"/>
      <c r="C17" s="6"/>
      <c r="D17" s="6"/>
      <c r="E17" s="6"/>
      <c r="F17" s="6"/>
      <c r="G17" s="6"/>
      <c r="H17" s="6"/>
      <c r="I17" s="6"/>
      <c r="J17" s="21"/>
      <c r="K17" s="6"/>
      <c r="L17" s="15"/>
      <c r="M17" s="6"/>
      <c r="N17" s="21"/>
      <c r="O17" s="6">
        <f t="shared" si="0"/>
        <v>0</v>
      </c>
    </row>
    <row r="18" spans="1:15">
      <c r="A18" s="5">
        <v>46036</v>
      </c>
      <c r="B18" s="6"/>
      <c r="C18" s="6"/>
      <c r="D18" s="6"/>
      <c r="E18" s="6"/>
      <c r="F18" s="6"/>
      <c r="G18" s="6"/>
      <c r="H18" s="6"/>
      <c r="I18" s="6"/>
      <c r="J18" s="21"/>
      <c r="K18" s="6"/>
      <c r="L18" s="15"/>
      <c r="M18" s="6"/>
      <c r="N18" s="21"/>
      <c r="O18" s="6">
        <f t="shared" si="0"/>
        <v>0</v>
      </c>
    </row>
    <row r="19" spans="1:15">
      <c r="A19" s="5">
        <v>46037</v>
      </c>
      <c r="B19" s="6">
        <f>+'[1]LIVREUR INTERNE ETC'!B$6</f>
        <v>250</v>
      </c>
      <c r="C19" s="6">
        <f>+'[1]LIVREUR INTERNE ETC'!C$6</f>
        <v>1270</v>
      </c>
      <c r="D19" s="6">
        <f>+'[1]LIVREUR INTERNE ETC'!D$6</f>
        <v>10</v>
      </c>
      <c r="E19" s="6">
        <f>+'[1]LIVREUR INTERNE ETC'!E$6</f>
        <v>45</v>
      </c>
      <c r="F19" s="6">
        <f>+'[1]LIVREUR INTERNE ETC'!F$6</f>
        <v>0</v>
      </c>
      <c r="G19" s="6">
        <f>+'[1]LIVREUR INTERNE ETC'!G$6</f>
        <v>0</v>
      </c>
      <c r="H19" s="6">
        <f>+'[1]LIVREUR INTERNE ETC'!H$6</f>
        <v>0</v>
      </c>
      <c r="I19" s="6">
        <f>+'[1]LIVREUR INTERNE ETC'!I$6</f>
        <v>0</v>
      </c>
      <c r="J19" s="21">
        <f>+'[1]LIVREUR INTERNE ETC'!J$6</f>
        <v>0</v>
      </c>
      <c r="K19" s="6">
        <f>+'[1]LIVREUR INTERNE ETC'!K$6</f>
        <v>0</v>
      </c>
      <c r="L19" s="15">
        <f>+'[1]LIVREUR INTERNE ETC'!L$6</f>
        <v>0</v>
      </c>
      <c r="M19" s="6">
        <f>+'[1]LIVREUR INTERNE ETC'!M$6</f>
        <v>119800</v>
      </c>
      <c r="N19" s="21">
        <f>+'[1]LIVREUR INTERNE ETC'!Q$6</f>
        <v>0</v>
      </c>
      <c r="O19" s="6">
        <f t="shared" si="0"/>
        <v>-119800</v>
      </c>
    </row>
    <row r="20" spans="1:15">
      <c r="A20" s="5">
        <v>46038</v>
      </c>
      <c r="B20" s="6"/>
      <c r="C20" s="6"/>
      <c r="D20" s="6"/>
      <c r="E20" s="6"/>
      <c r="F20" s="6"/>
      <c r="G20" s="6"/>
      <c r="H20" s="6"/>
      <c r="I20" s="6"/>
      <c r="J20" s="21"/>
      <c r="K20" s="6"/>
      <c r="L20" s="15"/>
      <c r="M20" s="6"/>
      <c r="N20" s="21"/>
      <c r="O20" s="6">
        <f t="shared" si="0"/>
        <v>-119800</v>
      </c>
    </row>
    <row r="21" spans="1:15">
      <c r="A21" s="5">
        <v>46039</v>
      </c>
      <c r="B21" s="6"/>
      <c r="C21" s="6"/>
      <c r="D21" s="6"/>
      <c r="E21" s="6"/>
      <c r="F21" s="6"/>
      <c r="G21" s="6"/>
      <c r="H21" s="6"/>
      <c r="I21" s="6"/>
      <c r="J21" s="21"/>
      <c r="K21" s="6"/>
      <c r="L21" s="15"/>
      <c r="M21" s="6"/>
      <c r="N21" s="21"/>
      <c r="O21" s="6">
        <f t="shared" si="0"/>
        <v>-119800</v>
      </c>
    </row>
    <row r="22" spans="1:15">
      <c r="A22" s="5">
        <v>46040</v>
      </c>
      <c r="B22" s="6"/>
      <c r="C22" s="6"/>
      <c r="D22" s="6"/>
      <c r="E22" s="6"/>
      <c r="F22" s="6"/>
      <c r="G22" s="6"/>
      <c r="H22" s="6"/>
      <c r="I22" s="6"/>
      <c r="J22" s="21"/>
      <c r="K22" s="6"/>
      <c r="L22" s="15"/>
      <c r="M22" s="6"/>
      <c r="N22" s="21"/>
      <c r="O22" s="6">
        <f t="shared" si="0"/>
        <v>-119800</v>
      </c>
    </row>
    <row r="23" spans="1:15">
      <c r="A23" s="5">
        <v>46041</v>
      </c>
      <c r="B23" s="6"/>
      <c r="C23" s="6"/>
      <c r="D23" s="6"/>
      <c r="E23" s="6"/>
      <c r="F23" s="6"/>
      <c r="G23" s="6"/>
      <c r="H23" s="6"/>
      <c r="I23" s="6"/>
      <c r="J23" s="21"/>
      <c r="K23" s="6"/>
      <c r="L23" s="15"/>
      <c r="M23" s="6"/>
      <c r="N23" s="21"/>
      <c r="O23" s="6">
        <f t="shared" si="0"/>
        <v>-119800</v>
      </c>
    </row>
    <row r="24" spans="1:15">
      <c r="A24" s="5">
        <v>46042</v>
      </c>
      <c r="B24" s="6"/>
      <c r="C24" s="6"/>
      <c r="D24" s="6"/>
      <c r="E24" s="6"/>
      <c r="F24" s="6"/>
      <c r="G24" s="6"/>
      <c r="H24" s="6"/>
      <c r="I24" s="6"/>
      <c r="J24" s="21"/>
      <c r="K24" s="6"/>
      <c r="L24" s="15"/>
      <c r="M24" s="6"/>
      <c r="N24" s="21"/>
      <c r="O24" s="6">
        <f t="shared" si="0"/>
        <v>-119800</v>
      </c>
    </row>
    <row r="25" spans="1:15">
      <c r="A25" s="5">
        <v>46043</v>
      </c>
      <c r="B25" s="6"/>
      <c r="C25" s="6"/>
      <c r="D25" s="6"/>
      <c r="E25" s="6"/>
      <c r="F25" s="6"/>
      <c r="G25" s="6"/>
      <c r="H25" s="6"/>
      <c r="I25" s="6"/>
      <c r="J25" s="21"/>
      <c r="K25" s="6"/>
      <c r="L25" s="15"/>
      <c r="M25" s="6"/>
      <c r="N25" s="21"/>
      <c r="O25" s="6">
        <f t="shared" si="0"/>
        <v>-119800</v>
      </c>
    </row>
    <row r="26" spans="1:15">
      <c r="A26" s="5">
        <v>46044</v>
      </c>
      <c r="B26" s="6"/>
      <c r="C26" s="6"/>
      <c r="D26" s="6"/>
      <c r="E26" s="6"/>
      <c r="F26" s="6"/>
      <c r="G26" s="6"/>
      <c r="H26" s="6"/>
      <c r="I26" s="6"/>
      <c r="J26" s="21"/>
      <c r="K26" s="6"/>
      <c r="L26" s="15"/>
      <c r="M26" s="6"/>
      <c r="N26" s="21"/>
      <c r="O26" s="6">
        <f t="shared" si="0"/>
        <v>-119800</v>
      </c>
    </row>
    <row r="27" spans="1:15">
      <c r="A27" s="5">
        <v>46045</v>
      </c>
      <c r="B27" s="6"/>
      <c r="C27" s="6"/>
      <c r="D27" s="6"/>
      <c r="E27" s="6"/>
      <c r="F27" s="6"/>
      <c r="G27" s="6"/>
      <c r="H27" s="6"/>
      <c r="I27" s="6"/>
      <c r="J27" s="21"/>
      <c r="K27" s="6"/>
      <c r="L27" s="15"/>
      <c r="M27" s="6"/>
      <c r="N27" s="21"/>
      <c r="O27" s="6">
        <f t="shared" si="0"/>
        <v>-119800</v>
      </c>
    </row>
    <row r="28" spans="1:15">
      <c r="A28" s="5">
        <v>46046</v>
      </c>
      <c r="B28" s="6"/>
      <c r="C28" s="6"/>
      <c r="D28" s="6"/>
      <c r="E28" s="6"/>
      <c r="F28" s="6"/>
      <c r="G28" s="6"/>
      <c r="H28" s="6"/>
      <c r="I28" s="6"/>
      <c r="J28" s="21"/>
      <c r="K28" s="6"/>
      <c r="L28" s="15"/>
      <c r="M28" s="6"/>
      <c r="N28" s="21"/>
      <c r="O28" s="6">
        <f t="shared" si="0"/>
        <v>-119800</v>
      </c>
    </row>
    <row r="29" spans="1:15">
      <c r="A29" s="5">
        <v>46047</v>
      </c>
      <c r="B29" s="6"/>
      <c r="C29" s="6"/>
      <c r="D29" s="6"/>
      <c r="E29" s="6"/>
      <c r="F29" s="6"/>
      <c r="G29" s="6"/>
      <c r="H29" s="6"/>
      <c r="I29" s="6"/>
      <c r="J29" s="21"/>
      <c r="K29" s="6"/>
      <c r="L29" s="15"/>
      <c r="M29" s="6"/>
      <c r="N29" s="21"/>
      <c r="O29" s="6">
        <f t="shared" si="0"/>
        <v>-119800</v>
      </c>
    </row>
    <row r="30" spans="1:15">
      <c r="A30" s="5">
        <v>46048</v>
      </c>
      <c r="B30" s="6"/>
      <c r="C30" s="6"/>
      <c r="D30" s="6"/>
      <c r="E30" s="6"/>
      <c r="F30" s="6"/>
      <c r="G30" s="6"/>
      <c r="H30" s="6"/>
      <c r="I30" s="6"/>
      <c r="J30" s="21"/>
      <c r="K30" s="6"/>
      <c r="L30" s="15"/>
      <c r="M30" s="6"/>
      <c r="N30" s="21"/>
      <c r="O30" s="6">
        <f t="shared" si="0"/>
        <v>-119800</v>
      </c>
    </row>
    <row r="31" spans="1:15">
      <c r="A31" s="5">
        <v>46049</v>
      </c>
      <c r="B31" s="6"/>
      <c r="C31" s="6"/>
      <c r="D31" s="6"/>
      <c r="E31" s="6"/>
      <c r="F31" s="6"/>
      <c r="G31" s="6"/>
      <c r="H31" s="6"/>
      <c r="I31" s="6"/>
      <c r="J31" s="21"/>
      <c r="K31" s="6"/>
      <c r="L31" s="15"/>
      <c r="M31" s="6"/>
      <c r="N31" s="21"/>
      <c r="O31" s="6">
        <f t="shared" si="0"/>
        <v>-119800</v>
      </c>
    </row>
    <row r="32" spans="1:15">
      <c r="A32" s="5">
        <v>46050</v>
      </c>
      <c r="B32" s="6"/>
      <c r="C32" s="6"/>
      <c r="D32" s="6"/>
      <c r="E32" s="6"/>
      <c r="F32" s="6"/>
      <c r="G32" s="6"/>
      <c r="H32" s="6"/>
      <c r="I32" s="6"/>
      <c r="J32" s="21"/>
      <c r="K32" s="6"/>
      <c r="L32" s="15"/>
      <c r="M32" s="6"/>
      <c r="N32" s="21"/>
      <c r="O32" s="6">
        <f t="shared" si="0"/>
        <v>-119800</v>
      </c>
    </row>
    <row r="33" spans="1:15">
      <c r="A33" s="5">
        <v>46051</v>
      </c>
      <c r="B33" s="6"/>
      <c r="C33" s="6"/>
      <c r="D33" s="6"/>
      <c r="E33" s="6"/>
      <c r="F33" s="6"/>
      <c r="G33" s="6"/>
      <c r="H33" s="6"/>
      <c r="I33" s="6"/>
      <c r="J33" s="21"/>
      <c r="K33" s="6"/>
      <c r="L33" s="15"/>
      <c r="M33" s="6"/>
      <c r="N33" s="21"/>
      <c r="O33" s="6">
        <f t="shared" si="0"/>
        <v>-119800</v>
      </c>
    </row>
    <row r="34" spans="1:15">
      <c r="A34" s="5">
        <v>46052</v>
      </c>
      <c r="B34" s="6"/>
      <c r="C34" s="6"/>
      <c r="D34" s="6"/>
      <c r="E34" s="6"/>
      <c r="F34" s="6"/>
      <c r="G34" s="6"/>
      <c r="H34" s="6"/>
      <c r="I34" s="6"/>
      <c r="J34" s="21"/>
      <c r="K34" s="6"/>
      <c r="L34" s="15"/>
      <c r="M34" s="6"/>
      <c r="N34" s="21"/>
      <c r="O34" s="6">
        <f t="shared" si="0"/>
        <v>-119800</v>
      </c>
    </row>
    <row r="35" spans="1:15">
      <c r="A35" s="5">
        <v>46053</v>
      </c>
      <c r="B35" s="6"/>
      <c r="C35" s="6"/>
      <c r="D35" s="6"/>
      <c r="E35" s="6"/>
      <c r="F35" s="6"/>
      <c r="G35" s="6"/>
      <c r="H35" s="6"/>
      <c r="I35" s="6"/>
      <c r="J35" s="21"/>
      <c r="K35" s="6"/>
      <c r="L35" s="15"/>
      <c r="M35" s="6"/>
      <c r="N35" s="21"/>
      <c r="O35" s="6">
        <f t="shared" si="0"/>
        <v>-119800</v>
      </c>
    </row>
    <row r="36" spans="1:15" ht="15">
      <c r="A36" s="7" t="s">
        <v>10</v>
      </c>
      <c r="B36" s="8">
        <f>+SUM(B4:B35)</f>
        <v>250</v>
      </c>
      <c r="C36" s="8">
        <f t="shared" ref="C36:N36" si="1">+SUM(C4:C35)</f>
        <v>1270</v>
      </c>
      <c r="D36" s="8">
        <f t="shared" si="1"/>
        <v>10</v>
      </c>
      <c r="E36" s="8">
        <f t="shared" si="1"/>
        <v>45</v>
      </c>
      <c r="F36" s="8">
        <f t="shared" si="1"/>
        <v>0</v>
      </c>
      <c r="G36" s="8">
        <f t="shared" si="1"/>
        <v>0</v>
      </c>
      <c r="H36" s="8">
        <f t="shared" si="1"/>
        <v>0</v>
      </c>
      <c r="I36" s="8">
        <f t="shared" si="1"/>
        <v>0</v>
      </c>
      <c r="J36" s="19">
        <f t="shared" si="1"/>
        <v>0</v>
      </c>
      <c r="K36" s="8">
        <f t="shared" si="1"/>
        <v>0</v>
      </c>
      <c r="L36" s="14">
        <f t="shared" si="1"/>
        <v>0</v>
      </c>
      <c r="M36" s="8">
        <f t="shared" si="1"/>
        <v>119800</v>
      </c>
      <c r="N36" s="19">
        <f t="shared" si="1"/>
        <v>0</v>
      </c>
      <c r="O36" s="8">
        <f>+M36-N36</f>
        <v>119800</v>
      </c>
    </row>
  </sheetData>
  <mergeCells count="7">
    <mergeCell ref="O2:O3"/>
    <mergeCell ref="A1:J1"/>
    <mergeCell ref="A2:A3"/>
    <mergeCell ref="B2:E2"/>
    <mergeCell ref="F2:J2"/>
    <mergeCell ref="M2:M3"/>
    <mergeCell ref="N2:N3"/>
  </mergeCells>
  <pageMargins left="0" right="0" top="0" bottom="0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L13" sqref="L13"/>
    </sheetView>
  </sheetViews>
  <sheetFormatPr baseColWidth="10" defaultRowHeight="14.25"/>
  <cols>
    <col min="1" max="1" width="13.625" bestFit="1" customWidth="1"/>
    <col min="2" max="2" width="5.125" bestFit="1" customWidth="1"/>
    <col min="3" max="3" width="6.875" bestFit="1" customWidth="1"/>
    <col min="4" max="4" width="5.125" bestFit="1" customWidth="1"/>
    <col min="5" max="5" width="5.375" bestFit="1" customWidth="1"/>
    <col min="6" max="9" width="5.125" bestFit="1" customWidth="1"/>
    <col min="10" max="10" width="5.25" style="23" customWidth="1"/>
    <col min="11" max="11" width="5.125" bestFit="1" customWidth="1"/>
    <col min="12" max="12" width="4.75" style="17" customWidth="1"/>
    <col min="13" max="13" width="9.875" bestFit="1" customWidth="1"/>
    <col min="14" max="14" width="9.25" style="23" bestFit="1" customWidth="1"/>
    <col min="15" max="15" width="8.875" bestFit="1" customWidth="1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L1" s="18"/>
      <c r="M1" s="13" t="s">
        <v>15</v>
      </c>
      <c r="N1" s="24"/>
      <c r="O1" s="12">
        <v>46204</v>
      </c>
    </row>
    <row r="2" spans="1:15">
      <c r="A2" s="44" t="s">
        <v>0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1" t="s">
        <v>3</v>
      </c>
      <c r="L2" s="25" t="s">
        <v>4</v>
      </c>
      <c r="M2" s="42" t="s">
        <v>5</v>
      </c>
      <c r="N2" s="41" t="s">
        <v>7</v>
      </c>
      <c r="O2" s="42" t="s">
        <v>8</v>
      </c>
    </row>
    <row r="3" spans="1:15" ht="22.5">
      <c r="A3" s="44"/>
      <c r="B3" s="1">
        <v>40</v>
      </c>
      <c r="C3" s="1">
        <v>80</v>
      </c>
      <c r="D3" s="1">
        <v>100</v>
      </c>
      <c r="E3" s="1">
        <v>160</v>
      </c>
      <c r="F3" s="1">
        <v>40</v>
      </c>
      <c r="G3" s="1">
        <v>80</v>
      </c>
      <c r="H3" s="1">
        <v>125</v>
      </c>
      <c r="I3" s="1">
        <v>160</v>
      </c>
      <c r="J3" s="20" t="s">
        <v>6</v>
      </c>
      <c r="K3" s="1">
        <v>80</v>
      </c>
      <c r="L3" s="1">
        <v>100</v>
      </c>
      <c r="M3" s="42"/>
      <c r="N3" s="41"/>
      <c r="O3" s="42"/>
    </row>
    <row r="4" spans="1:15">
      <c r="A4" s="4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0">
        <v>0</v>
      </c>
      <c r="K4" s="1">
        <v>0</v>
      </c>
      <c r="L4" s="1">
        <v>0</v>
      </c>
      <c r="M4" s="1">
        <v>0</v>
      </c>
      <c r="N4" s="20">
        <v>0</v>
      </c>
      <c r="O4" s="2">
        <v>0</v>
      </c>
    </row>
    <row r="5" spans="1:15">
      <c r="A5" s="5">
        <v>46023</v>
      </c>
      <c r="B5" s="6"/>
      <c r="C5" s="6"/>
      <c r="D5" s="6"/>
      <c r="E5" s="6"/>
      <c r="F5" s="6"/>
      <c r="G5" s="6"/>
      <c r="H5" s="6"/>
      <c r="I5" s="6"/>
      <c r="J5" s="21"/>
      <c r="K5" s="6"/>
      <c r="L5" s="15"/>
      <c r="M5" s="6"/>
      <c r="N5" s="21"/>
      <c r="O5" s="6">
        <f>N5-M5+O4</f>
        <v>0</v>
      </c>
    </row>
    <row r="6" spans="1:15">
      <c r="A6" s="5">
        <v>46024</v>
      </c>
      <c r="B6" s="6"/>
      <c r="C6" s="6"/>
      <c r="D6" s="6"/>
      <c r="E6" s="6"/>
      <c r="F6" s="6"/>
      <c r="G6" s="6"/>
      <c r="H6" s="6"/>
      <c r="I6" s="6"/>
      <c r="J6" s="21"/>
      <c r="K6" s="6"/>
      <c r="L6" s="15"/>
      <c r="M6" s="6"/>
      <c r="N6" s="21"/>
      <c r="O6" s="6">
        <f t="shared" ref="O6:O35" si="0">N6-M6+O5</f>
        <v>0</v>
      </c>
    </row>
    <row r="7" spans="1:15">
      <c r="A7" s="5">
        <v>46025</v>
      </c>
      <c r="B7" s="6"/>
      <c r="C7" s="6"/>
      <c r="D7" s="6"/>
      <c r="E7" s="6"/>
      <c r="F7" s="6"/>
      <c r="G7" s="6"/>
      <c r="H7" s="6"/>
      <c r="I7" s="6"/>
      <c r="J7" s="21"/>
      <c r="K7" s="6"/>
      <c r="L7" s="15"/>
      <c r="M7" s="6"/>
      <c r="N7" s="21"/>
      <c r="O7" s="6">
        <f t="shared" si="0"/>
        <v>0</v>
      </c>
    </row>
    <row r="8" spans="1:15">
      <c r="A8" s="5">
        <v>46026</v>
      </c>
      <c r="B8" s="6"/>
      <c r="C8" s="6"/>
      <c r="D8" s="6"/>
      <c r="E8" s="6"/>
      <c r="F8" s="6"/>
      <c r="G8" s="6"/>
      <c r="H8" s="6"/>
      <c r="I8" s="6"/>
      <c r="J8" s="21"/>
      <c r="K8" s="6"/>
      <c r="L8" s="15"/>
      <c r="M8" s="6"/>
      <c r="N8" s="21"/>
      <c r="O8" s="6">
        <f t="shared" si="0"/>
        <v>0</v>
      </c>
    </row>
    <row r="9" spans="1:15">
      <c r="A9" s="5">
        <v>46027</v>
      </c>
      <c r="B9" s="6"/>
      <c r="C9" s="6"/>
      <c r="D9" s="6"/>
      <c r="E9" s="6"/>
      <c r="F9" s="6"/>
      <c r="G9" s="6"/>
      <c r="H9" s="6"/>
      <c r="I9" s="6"/>
      <c r="J9" s="21"/>
      <c r="K9" s="6"/>
      <c r="L9" s="15"/>
      <c r="M9" s="6"/>
      <c r="N9" s="21"/>
      <c r="O9" s="6">
        <f t="shared" si="0"/>
        <v>0</v>
      </c>
    </row>
    <row r="10" spans="1:15">
      <c r="A10" s="5">
        <v>46028</v>
      </c>
      <c r="B10" s="6"/>
      <c r="C10" s="6"/>
      <c r="D10" s="6"/>
      <c r="E10" s="6"/>
      <c r="F10" s="6"/>
      <c r="G10" s="6"/>
      <c r="H10" s="6"/>
      <c r="I10" s="6"/>
      <c r="J10" s="21"/>
      <c r="K10" s="6"/>
      <c r="L10" s="15"/>
      <c r="M10" s="6"/>
      <c r="N10" s="21"/>
      <c r="O10" s="6">
        <f t="shared" si="0"/>
        <v>0</v>
      </c>
    </row>
    <row r="11" spans="1:15">
      <c r="A11" s="5">
        <v>46029</v>
      </c>
      <c r="B11" s="6"/>
      <c r="C11" s="6"/>
      <c r="D11" s="6"/>
      <c r="E11" s="6"/>
      <c r="F11" s="6"/>
      <c r="G11" s="6"/>
      <c r="H11" s="6"/>
      <c r="I11" s="6"/>
      <c r="J11" s="21"/>
      <c r="K11" s="6"/>
      <c r="L11" s="15"/>
      <c r="M11" s="6"/>
      <c r="N11" s="21"/>
      <c r="O11" s="6">
        <f t="shared" si="0"/>
        <v>0</v>
      </c>
    </row>
    <row r="12" spans="1:15">
      <c r="A12" s="5">
        <v>46030</v>
      </c>
      <c r="B12" s="6"/>
      <c r="C12" s="6"/>
      <c r="D12" s="6"/>
      <c r="E12" s="6"/>
      <c r="F12" s="6"/>
      <c r="G12" s="6"/>
      <c r="H12" s="6"/>
      <c r="I12" s="6"/>
      <c r="J12" s="21"/>
      <c r="K12" s="6"/>
      <c r="L12" s="15"/>
      <c r="M12" s="6"/>
      <c r="N12" s="21"/>
      <c r="O12" s="6">
        <f t="shared" si="0"/>
        <v>0</v>
      </c>
    </row>
    <row r="13" spans="1:15">
      <c r="A13" s="5">
        <v>46031</v>
      </c>
      <c r="B13" s="6"/>
      <c r="C13" s="6"/>
      <c r="D13" s="6"/>
      <c r="E13" s="6"/>
      <c r="F13" s="6"/>
      <c r="G13" s="6"/>
      <c r="H13" s="6"/>
      <c r="I13" s="6"/>
      <c r="J13" s="21"/>
      <c r="K13" s="6"/>
      <c r="L13" s="15"/>
      <c r="M13" s="6"/>
      <c r="N13" s="21"/>
      <c r="O13" s="6">
        <f t="shared" si="0"/>
        <v>0</v>
      </c>
    </row>
    <row r="14" spans="1:15">
      <c r="A14" s="5">
        <v>46032</v>
      </c>
      <c r="B14" s="6"/>
      <c r="C14" s="6"/>
      <c r="D14" s="6"/>
      <c r="E14" s="6"/>
      <c r="F14" s="6"/>
      <c r="G14" s="6"/>
      <c r="H14" s="6"/>
      <c r="I14" s="6"/>
      <c r="J14" s="21"/>
      <c r="K14" s="6"/>
      <c r="L14" s="15"/>
      <c r="M14" s="6"/>
      <c r="N14" s="21"/>
      <c r="O14" s="6">
        <f t="shared" si="0"/>
        <v>0</v>
      </c>
    </row>
    <row r="15" spans="1:15">
      <c r="A15" s="5">
        <v>46033</v>
      </c>
      <c r="B15" s="6"/>
      <c r="C15" s="6"/>
      <c r="D15" s="6"/>
      <c r="E15" s="6"/>
      <c r="F15" s="6"/>
      <c r="G15" s="6"/>
      <c r="H15" s="6"/>
      <c r="I15" s="6"/>
      <c r="J15" s="21"/>
      <c r="K15" s="6"/>
      <c r="L15" s="15"/>
      <c r="M15" s="6"/>
      <c r="N15" s="21"/>
      <c r="O15" s="6">
        <f t="shared" si="0"/>
        <v>0</v>
      </c>
    </row>
    <row r="16" spans="1:15">
      <c r="A16" s="5">
        <v>46034</v>
      </c>
      <c r="B16" s="6"/>
      <c r="C16" s="6"/>
      <c r="D16" s="6"/>
      <c r="E16" s="6"/>
      <c r="F16" s="6"/>
      <c r="G16" s="6"/>
      <c r="H16" s="6"/>
      <c r="I16" s="6"/>
      <c r="J16" s="21"/>
      <c r="K16" s="6"/>
      <c r="L16" s="15"/>
      <c r="M16" s="6"/>
      <c r="N16" s="21"/>
      <c r="O16" s="6">
        <f t="shared" si="0"/>
        <v>0</v>
      </c>
    </row>
    <row r="17" spans="1:15">
      <c r="A17" s="5">
        <v>46035</v>
      </c>
      <c r="B17" s="6"/>
      <c r="C17" s="6"/>
      <c r="D17" s="6"/>
      <c r="E17" s="6"/>
      <c r="F17" s="6"/>
      <c r="G17" s="6"/>
      <c r="H17" s="6"/>
      <c r="I17" s="6"/>
      <c r="J17" s="21"/>
      <c r="K17" s="6"/>
      <c r="L17" s="15"/>
      <c r="M17" s="6"/>
      <c r="N17" s="21"/>
      <c r="O17" s="6">
        <f t="shared" si="0"/>
        <v>0</v>
      </c>
    </row>
    <row r="18" spans="1:15">
      <c r="A18" s="5">
        <v>46036</v>
      </c>
      <c r="B18" s="6"/>
      <c r="C18" s="6"/>
      <c r="D18" s="6"/>
      <c r="E18" s="6"/>
      <c r="F18" s="6"/>
      <c r="G18" s="6"/>
      <c r="H18" s="6"/>
      <c r="I18" s="6"/>
      <c r="J18" s="21"/>
      <c r="K18" s="6"/>
      <c r="L18" s="15"/>
      <c r="M18" s="6"/>
      <c r="N18" s="21"/>
      <c r="O18" s="6">
        <f t="shared" si="0"/>
        <v>0</v>
      </c>
    </row>
    <row r="19" spans="1:15">
      <c r="A19" s="5">
        <v>46037</v>
      </c>
      <c r="B19" s="6">
        <f>+'[1]LIVREUR INTERNE ETC'!B$7</f>
        <v>0</v>
      </c>
      <c r="C19" s="6">
        <f>+'[1]LIVREUR INTERNE ETC'!C$7</f>
        <v>1525</v>
      </c>
      <c r="D19" s="6">
        <f>+'[1]LIVREUR INTERNE ETC'!D$7</f>
        <v>0</v>
      </c>
      <c r="E19" s="6">
        <f>+'[1]LIVREUR INTERNE ETC'!E$7</f>
        <v>175</v>
      </c>
      <c r="F19" s="6">
        <f>+'[1]LIVREUR INTERNE ETC'!F$7</f>
        <v>0</v>
      </c>
      <c r="G19" s="6">
        <f>+'[1]LIVREUR INTERNE ETC'!G$7</f>
        <v>0</v>
      </c>
      <c r="H19" s="6">
        <f>+'[1]LIVREUR INTERNE ETC'!H$7</f>
        <v>0</v>
      </c>
      <c r="I19" s="6">
        <f>+'[1]LIVREUR INTERNE ETC'!I$7</f>
        <v>0</v>
      </c>
      <c r="J19" s="21">
        <f>+'[1]LIVREUR INTERNE ETC'!J$7</f>
        <v>0</v>
      </c>
      <c r="K19" s="6">
        <f>+'[1]LIVREUR INTERNE ETC'!K$7</f>
        <v>0</v>
      </c>
      <c r="L19" s="15">
        <f>+'[1]LIVREUR INTERNE ETC'!L$7</f>
        <v>0</v>
      </c>
      <c r="M19" s="6">
        <f>+'[1]LIVREUR INTERNE ETC'!M$7</f>
        <v>150000</v>
      </c>
      <c r="N19" s="21">
        <f>+'[1]LIVREUR INTERNE ETC'!Q$7</f>
        <v>0</v>
      </c>
      <c r="O19" s="6">
        <f t="shared" si="0"/>
        <v>-150000</v>
      </c>
    </row>
    <row r="20" spans="1:15">
      <c r="A20" s="5">
        <v>46038</v>
      </c>
      <c r="B20" s="6"/>
      <c r="C20" s="6"/>
      <c r="D20" s="6"/>
      <c r="E20" s="6"/>
      <c r="F20" s="6"/>
      <c r="G20" s="6"/>
      <c r="H20" s="6"/>
      <c r="I20" s="6"/>
      <c r="J20" s="21"/>
      <c r="K20" s="6"/>
      <c r="L20" s="15"/>
      <c r="M20" s="6"/>
      <c r="N20" s="21"/>
      <c r="O20" s="6">
        <f t="shared" si="0"/>
        <v>-150000</v>
      </c>
    </row>
    <row r="21" spans="1:15">
      <c r="A21" s="5">
        <v>46039</v>
      </c>
      <c r="B21" s="6"/>
      <c r="C21" s="6"/>
      <c r="D21" s="6"/>
      <c r="E21" s="6"/>
      <c r="F21" s="6"/>
      <c r="G21" s="6"/>
      <c r="H21" s="6"/>
      <c r="I21" s="6"/>
      <c r="J21" s="21"/>
      <c r="K21" s="6"/>
      <c r="L21" s="15"/>
      <c r="M21" s="6"/>
      <c r="N21" s="21"/>
      <c r="O21" s="6">
        <f t="shared" si="0"/>
        <v>-150000</v>
      </c>
    </row>
    <row r="22" spans="1:15">
      <c r="A22" s="5">
        <v>46040</v>
      </c>
      <c r="B22" s="6"/>
      <c r="C22" s="6"/>
      <c r="D22" s="6"/>
      <c r="E22" s="6"/>
      <c r="F22" s="6"/>
      <c r="G22" s="6"/>
      <c r="H22" s="6"/>
      <c r="I22" s="6"/>
      <c r="J22" s="21"/>
      <c r="K22" s="6"/>
      <c r="L22" s="15"/>
      <c r="M22" s="6"/>
      <c r="N22" s="21"/>
      <c r="O22" s="6">
        <f t="shared" si="0"/>
        <v>-150000</v>
      </c>
    </row>
    <row r="23" spans="1:15">
      <c r="A23" s="5">
        <v>46041</v>
      </c>
      <c r="B23" s="6"/>
      <c r="C23" s="6"/>
      <c r="D23" s="6"/>
      <c r="E23" s="6"/>
      <c r="F23" s="6"/>
      <c r="G23" s="6"/>
      <c r="H23" s="6"/>
      <c r="I23" s="6"/>
      <c r="J23" s="21"/>
      <c r="K23" s="6"/>
      <c r="L23" s="15"/>
      <c r="M23" s="6"/>
      <c r="N23" s="21"/>
      <c r="O23" s="6">
        <f t="shared" si="0"/>
        <v>-150000</v>
      </c>
    </row>
    <row r="24" spans="1:15">
      <c r="A24" s="5">
        <v>46042</v>
      </c>
      <c r="B24" s="6"/>
      <c r="C24" s="6"/>
      <c r="D24" s="6"/>
      <c r="E24" s="6"/>
      <c r="F24" s="6"/>
      <c r="G24" s="6"/>
      <c r="H24" s="6"/>
      <c r="I24" s="6"/>
      <c r="J24" s="21"/>
      <c r="K24" s="6"/>
      <c r="L24" s="15"/>
      <c r="M24" s="6"/>
      <c r="N24" s="21"/>
      <c r="O24" s="6">
        <f t="shared" si="0"/>
        <v>-150000</v>
      </c>
    </row>
    <row r="25" spans="1:15">
      <c r="A25" s="5">
        <v>46043</v>
      </c>
      <c r="B25" s="6"/>
      <c r="C25" s="6"/>
      <c r="D25" s="6"/>
      <c r="E25" s="6"/>
      <c r="F25" s="6"/>
      <c r="G25" s="6"/>
      <c r="H25" s="6"/>
      <c r="I25" s="6"/>
      <c r="J25" s="21"/>
      <c r="K25" s="6"/>
      <c r="L25" s="15"/>
      <c r="M25" s="6"/>
      <c r="N25" s="21"/>
      <c r="O25" s="6">
        <f t="shared" si="0"/>
        <v>-150000</v>
      </c>
    </row>
    <row r="26" spans="1:15">
      <c r="A26" s="5">
        <v>46044</v>
      </c>
      <c r="B26" s="6"/>
      <c r="C26" s="6"/>
      <c r="D26" s="6"/>
      <c r="E26" s="6"/>
      <c r="F26" s="6"/>
      <c r="G26" s="6"/>
      <c r="H26" s="6"/>
      <c r="I26" s="6"/>
      <c r="J26" s="21"/>
      <c r="K26" s="6"/>
      <c r="L26" s="15"/>
      <c r="M26" s="6"/>
      <c r="N26" s="21"/>
      <c r="O26" s="6">
        <f t="shared" si="0"/>
        <v>-150000</v>
      </c>
    </row>
    <row r="27" spans="1:15">
      <c r="A27" s="5">
        <v>46045</v>
      </c>
      <c r="B27" s="6"/>
      <c r="C27" s="6"/>
      <c r="D27" s="6"/>
      <c r="E27" s="6"/>
      <c r="F27" s="6"/>
      <c r="G27" s="6"/>
      <c r="H27" s="6"/>
      <c r="I27" s="6"/>
      <c r="J27" s="21"/>
      <c r="K27" s="6"/>
      <c r="L27" s="15"/>
      <c r="M27" s="6"/>
      <c r="N27" s="21"/>
      <c r="O27" s="6">
        <f t="shared" si="0"/>
        <v>-150000</v>
      </c>
    </row>
    <row r="28" spans="1:15">
      <c r="A28" s="5">
        <v>46046</v>
      </c>
      <c r="B28" s="6"/>
      <c r="C28" s="6"/>
      <c r="D28" s="6"/>
      <c r="E28" s="6"/>
      <c r="F28" s="6"/>
      <c r="G28" s="6"/>
      <c r="H28" s="6"/>
      <c r="I28" s="6"/>
      <c r="J28" s="21"/>
      <c r="K28" s="6"/>
      <c r="L28" s="15"/>
      <c r="M28" s="6"/>
      <c r="N28" s="21"/>
      <c r="O28" s="6">
        <f t="shared" si="0"/>
        <v>-150000</v>
      </c>
    </row>
    <row r="29" spans="1:15">
      <c r="A29" s="5">
        <v>46047</v>
      </c>
      <c r="B29" s="6"/>
      <c r="C29" s="6"/>
      <c r="D29" s="6"/>
      <c r="E29" s="6"/>
      <c r="F29" s="6"/>
      <c r="G29" s="6"/>
      <c r="H29" s="6"/>
      <c r="I29" s="6"/>
      <c r="J29" s="21"/>
      <c r="K29" s="6"/>
      <c r="L29" s="15"/>
      <c r="M29" s="6"/>
      <c r="N29" s="21"/>
      <c r="O29" s="6">
        <f t="shared" si="0"/>
        <v>-150000</v>
      </c>
    </row>
    <row r="30" spans="1:15">
      <c r="A30" s="5">
        <v>46048</v>
      </c>
      <c r="B30" s="6"/>
      <c r="C30" s="6"/>
      <c r="D30" s="6"/>
      <c r="E30" s="6"/>
      <c r="F30" s="6"/>
      <c r="G30" s="6"/>
      <c r="H30" s="6"/>
      <c r="I30" s="6"/>
      <c r="J30" s="21"/>
      <c r="K30" s="6"/>
      <c r="L30" s="15"/>
      <c r="M30" s="6"/>
      <c r="N30" s="21"/>
      <c r="O30" s="6">
        <f t="shared" si="0"/>
        <v>-150000</v>
      </c>
    </row>
    <row r="31" spans="1:15">
      <c r="A31" s="5">
        <v>46049</v>
      </c>
      <c r="B31" s="6"/>
      <c r="C31" s="6"/>
      <c r="D31" s="6"/>
      <c r="E31" s="6"/>
      <c r="F31" s="6"/>
      <c r="G31" s="6"/>
      <c r="H31" s="6"/>
      <c r="I31" s="6"/>
      <c r="J31" s="21"/>
      <c r="K31" s="6"/>
      <c r="L31" s="15"/>
      <c r="M31" s="6"/>
      <c r="N31" s="21"/>
      <c r="O31" s="6">
        <f t="shared" si="0"/>
        <v>-150000</v>
      </c>
    </row>
    <row r="32" spans="1:15">
      <c r="A32" s="5">
        <v>46050</v>
      </c>
      <c r="B32" s="6"/>
      <c r="C32" s="6"/>
      <c r="D32" s="6"/>
      <c r="E32" s="6"/>
      <c r="F32" s="6"/>
      <c r="G32" s="6"/>
      <c r="H32" s="6"/>
      <c r="I32" s="6"/>
      <c r="J32" s="21"/>
      <c r="K32" s="6"/>
      <c r="L32" s="15"/>
      <c r="M32" s="6"/>
      <c r="N32" s="21"/>
      <c r="O32" s="6">
        <f t="shared" si="0"/>
        <v>-150000</v>
      </c>
    </row>
    <row r="33" spans="1:15">
      <c r="A33" s="5">
        <v>46051</v>
      </c>
      <c r="B33" s="6"/>
      <c r="C33" s="6"/>
      <c r="D33" s="6"/>
      <c r="E33" s="6"/>
      <c r="F33" s="6"/>
      <c r="G33" s="6"/>
      <c r="H33" s="6"/>
      <c r="I33" s="6"/>
      <c r="J33" s="21"/>
      <c r="K33" s="6"/>
      <c r="L33" s="15"/>
      <c r="M33" s="6"/>
      <c r="N33" s="21"/>
      <c r="O33" s="6">
        <f t="shared" si="0"/>
        <v>-150000</v>
      </c>
    </row>
    <row r="34" spans="1:15">
      <c r="A34" s="5">
        <v>46052</v>
      </c>
      <c r="B34" s="6"/>
      <c r="C34" s="6"/>
      <c r="D34" s="6"/>
      <c r="E34" s="6"/>
      <c r="F34" s="6"/>
      <c r="G34" s="6"/>
      <c r="H34" s="6"/>
      <c r="I34" s="6"/>
      <c r="J34" s="21"/>
      <c r="K34" s="6"/>
      <c r="L34" s="15"/>
      <c r="M34" s="6"/>
      <c r="N34" s="21"/>
      <c r="O34" s="6">
        <f t="shared" si="0"/>
        <v>-150000</v>
      </c>
    </row>
    <row r="35" spans="1:15">
      <c r="A35" s="5">
        <v>46053</v>
      </c>
      <c r="B35" s="6"/>
      <c r="C35" s="6"/>
      <c r="D35" s="6"/>
      <c r="E35" s="6"/>
      <c r="F35" s="6"/>
      <c r="G35" s="6"/>
      <c r="H35" s="6"/>
      <c r="I35" s="6"/>
      <c r="J35" s="21"/>
      <c r="K35" s="6"/>
      <c r="L35" s="15"/>
      <c r="M35" s="6"/>
      <c r="N35" s="21"/>
      <c r="O35" s="6">
        <f t="shared" si="0"/>
        <v>-150000</v>
      </c>
    </row>
    <row r="36" spans="1:15" ht="15">
      <c r="A36" s="7" t="s">
        <v>10</v>
      </c>
      <c r="B36" s="8">
        <f>+SUM(B4:B35)</f>
        <v>0</v>
      </c>
      <c r="C36" s="8">
        <f t="shared" ref="C36:N36" si="1">+SUM(C4:C35)</f>
        <v>1525</v>
      </c>
      <c r="D36" s="8">
        <f t="shared" si="1"/>
        <v>0</v>
      </c>
      <c r="E36" s="8">
        <f t="shared" si="1"/>
        <v>175</v>
      </c>
      <c r="F36" s="8">
        <f t="shared" si="1"/>
        <v>0</v>
      </c>
      <c r="G36" s="8">
        <f t="shared" si="1"/>
        <v>0</v>
      </c>
      <c r="H36" s="8">
        <f t="shared" si="1"/>
        <v>0</v>
      </c>
      <c r="I36" s="8">
        <f t="shared" si="1"/>
        <v>0</v>
      </c>
      <c r="J36" s="19">
        <f t="shared" si="1"/>
        <v>0</v>
      </c>
      <c r="K36" s="8">
        <f t="shared" si="1"/>
        <v>0</v>
      </c>
      <c r="L36" s="14">
        <f t="shared" si="1"/>
        <v>0</v>
      </c>
      <c r="M36" s="8">
        <f t="shared" si="1"/>
        <v>150000</v>
      </c>
      <c r="N36" s="19">
        <f t="shared" si="1"/>
        <v>0</v>
      </c>
      <c r="O36" s="8">
        <f>+M36-N36</f>
        <v>150000</v>
      </c>
    </row>
  </sheetData>
  <mergeCells count="7">
    <mergeCell ref="O2:O3"/>
    <mergeCell ref="A1:J1"/>
    <mergeCell ref="A2:A3"/>
    <mergeCell ref="B2:E2"/>
    <mergeCell ref="F2:J2"/>
    <mergeCell ref="M2:M3"/>
    <mergeCell ref="N2:N3"/>
  </mergeCells>
  <pageMargins left="0" right="0" top="0" bottom="0" header="0.31496062992125984" footer="0.31496062992125984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L13" sqref="L13"/>
    </sheetView>
  </sheetViews>
  <sheetFormatPr baseColWidth="10" defaultRowHeight="14.25"/>
  <cols>
    <col min="1" max="1" width="13.625" bestFit="1" customWidth="1"/>
    <col min="2" max="2" width="5.125" bestFit="1" customWidth="1"/>
    <col min="3" max="3" width="5.375" bestFit="1" customWidth="1"/>
    <col min="4" max="9" width="5.125" bestFit="1" customWidth="1"/>
    <col min="10" max="10" width="5.25" style="23" customWidth="1"/>
    <col min="11" max="11" width="5.125" bestFit="1" customWidth="1"/>
    <col min="12" max="12" width="4.75" style="17" customWidth="1"/>
    <col min="13" max="13" width="8.25" bestFit="1" customWidth="1"/>
    <col min="14" max="14" width="9.25" style="23" bestFit="1" customWidth="1"/>
    <col min="15" max="15" width="7.875" bestFit="1" customWidth="1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L1" s="18"/>
      <c r="M1" s="13" t="s">
        <v>16</v>
      </c>
      <c r="N1" s="24"/>
      <c r="O1" s="12">
        <v>46204</v>
      </c>
    </row>
    <row r="2" spans="1:15">
      <c r="A2" s="44" t="s">
        <v>0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1" t="s">
        <v>3</v>
      </c>
      <c r="L2" s="25" t="s">
        <v>4</v>
      </c>
      <c r="M2" s="42" t="s">
        <v>5</v>
      </c>
      <c r="N2" s="41" t="s">
        <v>7</v>
      </c>
      <c r="O2" s="42" t="s">
        <v>8</v>
      </c>
    </row>
    <row r="3" spans="1:15" ht="22.5">
      <c r="A3" s="44"/>
      <c r="B3" s="1">
        <v>40</v>
      </c>
      <c r="C3" s="1">
        <v>80</v>
      </c>
      <c r="D3" s="1">
        <v>100</v>
      </c>
      <c r="E3" s="1">
        <v>160</v>
      </c>
      <c r="F3" s="1">
        <v>40</v>
      </c>
      <c r="G3" s="1">
        <v>80</v>
      </c>
      <c r="H3" s="1">
        <v>125</v>
      </c>
      <c r="I3" s="1">
        <v>160</v>
      </c>
      <c r="J3" s="20" t="s">
        <v>6</v>
      </c>
      <c r="K3" s="1">
        <v>80</v>
      </c>
      <c r="L3" s="1">
        <v>100</v>
      </c>
      <c r="M3" s="42"/>
      <c r="N3" s="41"/>
      <c r="O3" s="42"/>
    </row>
    <row r="4" spans="1:15">
      <c r="A4" s="4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0">
        <v>0</v>
      </c>
      <c r="K4" s="1">
        <v>0</v>
      </c>
      <c r="L4" s="1">
        <v>0</v>
      </c>
      <c r="M4" s="1">
        <v>0</v>
      </c>
      <c r="N4" s="20">
        <v>0</v>
      </c>
      <c r="O4" s="2">
        <v>0</v>
      </c>
    </row>
    <row r="5" spans="1:15">
      <c r="A5" s="5">
        <v>46023</v>
      </c>
      <c r="B5" s="6"/>
      <c r="C5" s="6"/>
      <c r="D5" s="6"/>
      <c r="E5" s="6"/>
      <c r="F5" s="6"/>
      <c r="G5" s="6"/>
      <c r="H5" s="6"/>
      <c r="I5" s="6"/>
      <c r="J5" s="21"/>
      <c r="K5" s="6"/>
      <c r="L5" s="15"/>
      <c r="M5" s="6"/>
      <c r="N5" s="21"/>
      <c r="O5" s="6">
        <f>N5-M5+O4</f>
        <v>0</v>
      </c>
    </row>
    <row r="6" spans="1:15">
      <c r="A6" s="5">
        <v>46024</v>
      </c>
      <c r="B6" s="6"/>
      <c r="C6" s="6"/>
      <c r="D6" s="6"/>
      <c r="E6" s="6"/>
      <c r="F6" s="6"/>
      <c r="G6" s="6"/>
      <c r="H6" s="6"/>
      <c r="I6" s="6"/>
      <c r="J6" s="21"/>
      <c r="K6" s="6"/>
      <c r="L6" s="15"/>
      <c r="M6" s="6"/>
      <c r="N6" s="21"/>
      <c r="O6" s="6">
        <f t="shared" ref="O6:O35" si="0">N6-M6+O5</f>
        <v>0</v>
      </c>
    </row>
    <row r="7" spans="1:15">
      <c r="A7" s="5">
        <v>46025</v>
      </c>
      <c r="B7" s="6"/>
      <c r="C7" s="6"/>
      <c r="D7" s="6"/>
      <c r="E7" s="6"/>
      <c r="F7" s="6"/>
      <c r="G7" s="6"/>
      <c r="H7" s="6"/>
      <c r="I7" s="6"/>
      <c r="J7" s="21"/>
      <c r="K7" s="6"/>
      <c r="L7" s="15"/>
      <c r="M7" s="6"/>
      <c r="N7" s="21"/>
      <c r="O7" s="6">
        <f t="shared" si="0"/>
        <v>0</v>
      </c>
    </row>
    <row r="8" spans="1:15">
      <c r="A8" s="5">
        <v>46026</v>
      </c>
      <c r="B8" s="6"/>
      <c r="C8" s="6"/>
      <c r="D8" s="6"/>
      <c r="E8" s="6"/>
      <c r="F8" s="6"/>
      <c r="G8" s="6"/>
      <c r="H8" s="6"/>
      <c r="I8" s="6"/>
      <c r="J8" s="21"/>
      <c r="K8" s="6"/>
      <c r="L8" s="15"/>
      <c r="M8" s="6"/>
      <c r="N8" s="21"/>
      <c r="O8" s="6">
        <f t="shared" si="0"/>
        <v>0</v>
      </c>
    </row>
    <row r="9" spans="1:15">
      <c r="A9" s="5">
        <v>46027</v>
      </c>
      <c r="B9" s="6"/>
      <c r="C9" s="6"/>
      <c r="D9" s="6"/>
      <c r="E9" s="6"/>
      <c r="F9" s="6"/>
      <c r="G9" s="6"/>
      <c r="H9" s="6"/>
      <c r="I9" s="6"/>
      <c r="J9" s="21"/>
      <c r="K9" s="6"/>
      <c r="L9" s="15"/>
      <c r="M9" s="6"/>
      <c r="N9" s="21"/>
      <c r="O9" s="6">
        <f t="shared" si="0"/>
        <v>0</v>
      </c>
    </row>
    <row r="10" spans="1:15">
      <c r="A10" s="5">
        <v>46028</v>
      </c>
      <c r="B10" s="6"/>
      <c r="C10" s="6"/>
      <c r="D10" s="6"/>
      <c r="E10" s="6"/>
      <c r="F10" s="6"/>
      <c r="G10" s="6"/>
      <c r="H10" s="6"/>
      <c r="I10" s="6"/>
      <c r="J10" s="21"/>
      <c r="K10" s="6"/>
      <c r="L10" s="15"/>
      <c r="M10" s="6"/>
      <c r="N10" s="21"/>
      <c r="O10" s="6">
        <f t="shared" si="0"/>
        <v>0</v>
      </c>
    </row>
    <row r="11" spans="1:15">
      <c r="A11" s="5">
        <v>46029</v>
      </c>
      <c r="B11" s="6"/>
      <c r="C11" s="6"/>
      <c r="D11" s="6"/>
      <c r="E11" s="6"/>
      <c r="F11" s="6"/>
      <c r="G11" s="6"/>
      <c r="H11" s="6"/>
      <c r="I11" s="6"/>
      <c r="J11" s="21"/>
      <c r="K11" s="6"/>
      <c r="L11" s="15"/>
      <c r="M11" s="6"/>
      <c r="N11" s="21"/>
      <c r="O11" s="6">
        <f t="shared" si="0"/>
        <v>0</v>
      </c>
    </row>
    <row r="12" spans="1:15">
      <c r="A12" s="5">
        <v>46030</v>
      </c>
      <c r="B12" s="6"/>
      <c r="C12" s="6"/>
      <c r="D12" s="6"/>
      <c r="E12" s="6"/>
      <c r="F12" s="6"/>
      <c r="G12" s="6"/>
      <c r="H12" s="6"/>
      <c r="I12" s="6"/>
      <c r="J12" s="21"/>
      <c r="K12" s="6"/>
      <c r="L12" s="15"/>
      <c r="M12" s="6"/>
      <c r="N12" s="21"/>
      <c r="O12" s="6">
        <f t="shared" si="0"/>
        <v>0</v>
      </c>
    </row>
    <row r="13" spans="1:15">
      <c r="A13" s="5">
        <v>46031</v>
      </c>
      <c r="B13" s="6"/>
      <c r="C13" s="6"/>
      <c r="D13" s="6"/>
      <c r="E13" s="6"/>
      <c r="F13" s="6"/>
      <c r="G13" s="6"/>
      <c r="H13" s="6"/>
      <c r="I13" s="6"/>
      <c r="J13" s="21"/>
      <c r="K13" s="6"/>
      <c r="L13" s="15"/>
      <c r="M13" s="6"/>
      <c r="N13" s="21"/>
      <c r="O13" s="6">
        <f t="shared" si="0"/>
        <v>0</v>
      </c>
    </row>
    <row r="14" spans="1:15">
      <c r="A14" s="5">
        <v>46032</v>
      </c>
      <c r="B14" s="6"/>
      <c r="C14" s="6"/>
      <c r="D14" s="6"/>
      <c r="E14" s="6"/>
      <c r="F14" s="6"/>
      <c r="G14" s="6"/>
      <c r="H14" s="6"/>
      <c r="I14" s="6"/>
      <c r="J14" s="21"/>
      <c r="K14" s="6"/>
      <c r="L14" s="15"/>
      <c r="M14" s="6"/>
      <c r="N14" s="21"/>
      <c r="O14" s="6">
        <f t="shared" si="0"/>
        <v>0</v>
      </c>
    </row>
    <row r="15" spans="1:15">
      <c r="A15" s="5">
        <v>46033</v>
      </c>
      <c r="B15" s="6"/>
      <c r="C15" s="6"/>
      <c r="D15" s="6"/>
      <c r="E15" s="6"/>
      <c r="F15" s="6"/>
      <c r="G15" s="6"/>
      <c r="H15" s="6"/>
      <c r="I15" s="6"/>
      <c r="J15" s="21"/>
      <c r="K15" s="6"/>
      <c r="L15" s="15"/>
      <c r="M15" s="6"/>
      <c r="N15" s="21"/>
      <c r="O15" s="6">
        <f t="shared" si="0"/>
        <v>0</v>
      </c>
    </row>
    <row r="16" spans="1:15">
      <c r="A16" s="5">
        <v>46034</v>
      </c>
      <c r="B16" s="6"/>
      <c r="C16" s="6"/>
      <c r="D16" s="6"/>
      <c r="E16" s="6"/>
      <c r="F16" s="6"/>
      <c r="G16" s="6"/>
      <c r="H16" s="6"/>
      <c r="I16" s="6"/>
      <c r="J16" s="21"/>
      <c r="K16" s="6"/>
      <c r="L16" s="15"/>
      <c r="M16" s="6"/>
      <c r="N16" s="21"/>
      <c r="O16" s="6">
        <f t="shared" si="0"/>
        <v>0</v>
      </c>
    </row>
    <row r="17" spans="1:15">
      <c r="A17" s="5">
        <v>46035</v>
      </c>
      <c r="B17" s="6"/>
      <c r="C17" s="6"/>
      <c r="D17" s="6"/>
      <c r="E17" s="6"/>
      <c r="F17" s="6"/>
      <c r="G17" s="6"/>
      <c r="H17" s="6"/>
      <c r="I17" s="6"/>
      <c r="J17" s="21"/>
      <c r="K17" s="6"/>
      <c r="L17" s="15"/>
      <c r="M17" s="6"/>
      <c r="N17" s="21"/>
      <c r="O17" s="6">
        <f t="shared" si="0"/>
        <v>0</v>
      </c>
    </row>
    <row r="18" spans="1:15">
      <c r="A18" s="5">
        <v>46036</v>
      </c>
      <c r="B18" s="6"/>
      <c r="C18" s="6"/>
      <c r="D18" s="6"/>
      <c r="E18" s="6"/>
      <c r="F18" s="6"/>
      <c r="G18" s="6"/>
      <c r="H18" s="6"/>
      <c r="I18" s="6"/>
      <c r="J18" s="21"/>
      <c r="K18" s="6"/>
      <c r="L18" s="15"/>
      <c r="M18" s="6"/>
      <c r="N18" s="21"/>
      <c r="O18" s="6">
        <f t="shared" si="0"/>
        <v>0</v>
      </c>
    </row>
    <row r="19" spans="1:15">
      <c r="A19" s="5">
        <v>46037</v>
      </c>
      <c r="B19" s="6">
        <f>+'[1]LIVREUR INTERNE ETC'!B$8</f>
        <v>0</v>
      </c>
      <c r="C19" s="6">
        <f>+'[1]LIVREUR INTERNE ETC'!C$8</f>
        <v>425</v>
      </c>
      <c r="D19" s="6">
        <f>+'[1]LIVREUR INTERNE ETC'!D$8</f>
        <v>0</v>
      </c>
      <c r="E19" s="6">
        <f>+'[1]LIVREUR INTERNE ETC'!E$8</f>
        <v>0</v>
      </c>
      <c r="F19" s="6">
        <f>+'[1]LIVREUR INTERNE ETC'!F$8</f>
        <v>0</v>
      </c>
      <c r="G19" s="6">
        <f>+'[1]LIVREUR INTERNE ETC'!G$8</f>
        <v>0</v>
      </c>
      <c r="H19" s="6">
        <f>+'[1]LIVREUR INTERNE ETC'!H$8</f>
        <v>0</v>
      </c>
      <c r="I19" s="6">
        <f>+'[1]LIVREUR INTERNE ETC'!I$8</f>
        <v>0</v>
      </c>
      <c r="J19" s="21">
        <f>+'[1]LIVREUR INTERNE ETC'!J$8</f>
        <v>0</v>
      </c>
      <c r="K19" s="6">
        <f>+'[1]LIVREUR INTERNE ETC'!K$8</f>
        <v>0</v>
      </c>
      <c r="L19" s="15">
        <f>+'[1]LIVREUR INTERNE ETC'!L$8</f>
        <v>0</v>
      </c>
      <c r="M19" s="6">
        <f>+'[1]LIVREUR INTERNE ETC'!M$8</f>
        <v>34000</v>
      </c>
      <c r="N19" s="21">
        <f>+'[1]LIVREUR INTERNE ETC'!Q$8</f>
        <v>0</v>
      </c>
      <c r="O19" s="6">
        <f t="shared" si="0"/>
        <v>-34000</v>
      </c>
    </row>
    <row r="20" spans="1:15">
      <c r="A20" s="5">
        <v>46038</v>
      </c>
      <c r="B20" s="6"/>
      <c r="C20" s="6"/>
      <c r="D20" s="6"/>
      <c r="E20" s="6"/>
      <c r="F20" s="6"/>
      <c r="G20" s="6"/>
      <c r="H20" s="6"/>
      <c r="I20" s="6"/>
      <c r="J20" s="21"/>
      <c r="K20" s="6"/>
      <c r="L20" s="15"/>
      <c r="M20" s="6"/>
      <c r="N20" s="21"/>
      <c r="O20" s="6">
        <f t="shared" si="0"/>
        <v>-34000</v>
      </c>
    </row>
    <row r="21" spans="1:15">
      <c r="A21" s="5">
        <v>46039</v>
      </c>
      <c r="B21" s="6"/>
      <c r="C21" s="6"/>
      <c r="D21" s="6"/>
      <c r="E21" s="6"/>
      <c r="F21" s="6"/>
      <c r="G21" s="6"/>
      <c r="H21" s="6"/>
      <c r="I21" s="6"/>
      <c r="J21" s="21"/>
      <c r="K21" s="6"/>
      <c r="L21" s="15"/>
      <c r="M21" s="6"/>
      <c r="N21" s="21"/>
      <c r="O21" s="6">
        <f t="shared" si="0"/>
        <v>-34000</v>
      </c>
    </row>
    <row r="22" spans="1:15">
      <c r="A22" s="5">
        <v>46040</v>
      </c>
      <c r="B22" s="6"/>
      <c r="C22" s="6"/>
      <c r="D22" s="6"/>
      <c r="E22" s="6"/>
      <c r="F22" s="6"/>
      <c r="G22" s="6"/>
      <c r="H22" s="6"/>
      <c r="I22" s="6"/>
      <c r="J22" s="21"/>
      <c r="K22" s="6"/>
      <c r="L22" s="15"/>
      <c r="M22" s="6"/>
      <c r="N22" s="21"/>
      <c r="O22" s="6">
        <f t="shared" si="0"/>
        <v>-34000</v>
      </c>
    </row>
    <row r="23" spans="1:15">
      <c r="A23" s="5">
        <v>46041</v>
      </c>
      <c r="B23" s="6"/>
      <c r="C23" s="6"/>
      <c r="D23" s="6"/>
      <c r="E23" s="6"/>
      <c r="F23" s="6"/>
      <c r="G23" s="6"/>
      <c r="H23" s="6"/>
      <c r="I23" s="6"/>
      <c r="J23" s="21"/>
      <c r="K23" s="6"/>
      <c r="L23" s="15"/>
      <c r="M23" s="6"/>
      <c r="N23" s="21"/>
      <c r="O23" s="6">
        <f t="shared" si="0"/>
        <v>-34000</v>
      </c>
    </row>
    <row r="24" spans="1:15">
      <c r="A24" s="5">
        <v>46042</v>
      </c>
      <c r="B24" s="6"/>
      <c r="C24" s="6"/>
      <c r="D24" s="6"/>
      <c r="E24" s="6"/>
      <c r="F24" s="6"/>
      <c r="G24" s="6"/>
      <c r="H24" s="6"/>
      <c r="I24" s="6"/>
      <c r="J24" s="21"/>
      <c r="K24" s="6"/>
      <c r="L24" s="15"/>
      <c r="M24" s="6"/>
      <c r="N24" s="21"/>
      <c r="O24" s="6">
        <f t="shared" si="0"/>
        <v>-34000</v>
      </c>
    </row>
    <row r="25" spans="1:15">
      <c r="A25" s="5">
        <v>46043</v>
      </c>
      <c r="B25" s="6"/>
      <c r="C25" s="6"/>
      <c r="D25" s="6"/>
      <c r="E25" s="6"/>
      <c r="F25" s="6"/>
      <c r="G25" s="6"/>
      <c r="H25" s="6"/>
      <c r="I25" s="6"/>
      <c r="J25" s="21"/>
      <c r="K25" s="6"/>
      <c r="L25" s="15"/>
      <c r="M25" s="6"/>
      <c r="N25" s="21"/>
      <c r="O25" s="6">
        <f t="shared" si="0"/>
        <v>-34000</v>
      </c>
    </row>
    <row r="26" spans="1:15">
      <c r="A26" s="5">
        <v>46044</v>
      </c>
      <c r="B26" s="6"/>
      <c r="C26" s="6"/>
      <c r="D26" s="6"/>
      <c r="E26" s="6"/>
      <c r="F26" s="6"/>
      <c r="G26" s="6"/>
      <c r="H26" s="6"/>
      <c r="I26" s="6"/>
      <c r="J26" s="21"/>
      <c r="K26" s="6"/>
      <c r="L26" s="15"/>
      <c r="M26" s="6"/>
      <c r="N26" s="21"/>
      <c r="O26" s="6">
        <f t="shared" si="0"/>
        <v>-34000</v>
      </c>
    </row>
    <row r="27" spans="1:15">
      <c r="A27" s="5">
        <v>46045</v>
      </c>
      <c r="B27" s="6"/>
      <c r="C27" s="6"/>
      <c r="D27" s="6"/>
      <c r="E27" s="6"/>
      <c r="F27" s="6"/>
      <c r="G27" s="6"/>
      <c r="H27" s="6"/>
      <c r="I27" s="6"/>
      <c r="J27" s="21"/>
      <c r="K27" s="6"/>
      <c r="L27" s="15"/>
      <c r="M27" s="6"/>
      <c r="N27" s="21"/>
      <c r="O27" s="6">
        <f t="shared" si="0"/>
        <v>-34000</v>
      </c>
    </row>
    <row r="28" spans="1:15">
      <c r="A28" s="5">
        <v>46046</v>
      </c>
      <c r="B28" s="6"/>
      <c r="C28" s="6"/>
      <c r="D28" s="6"/>
      <c r="E28" s="6"/>
      <c r="F28" s="6"/>
      <c r="G28" s="6"/>
      <c r="H28" s="6"/>
      <c r="I28" s="6"/>
      <c r="J28" s="21"/>
      <c r="K28" s="6"/>
      <c r="L28" s="15"/>
      <c r="M28" s="6"/>
      <c r="N28" s="21"/>
      <c r="O28" s="6">
        <f t="shared" si="0"/>
        <v>-34000</v>
      </c>
    </row>
    <row r="29" spans="1:15">
      <c r="A29" s="5">
        <v>46047</v>
      </c>
      <c r="B29" s="6"/>
      <c r="C29" s="6"/>
      <c r="D29" s="6"/>
      <c r="E29" s="6"/>
      <c r="F29" s="6"/>
      <c r="G29" s="6"/>
      <c r="H29" s="6"/>
      <c r="I29" s="6"/>
      <c r="J29" s="21"/>
      <c r="K29" s="6"/>
      <c r="L29" s="15"/>
      <c r="M29" s="6"/>
      <c r="N29" s="21"/>
      <c r="O29" s="6">
        <f t="shared" si="0"/>
        <v>-34000</v>
      </c>
    </row>
    <row r="30" spans="1:15">
      <c r="A30" s="5">
        <v>46048</v>
      </c>
      <c r="B30" s="6"/>
      <c r="C30" s="6"/>
      <c r="D30" s="6"/>
      <c r="E30" s="6"/>
      <c r="F30" s="6"/>
      <c r="G30" s="6"/>
      <c r="H30" s="6"/>
      <c r="I30" s="6"/>
      <c r="J30" s="21"/>
      <c r="K30" s="6"/>
      <c r="L30" s="15"/>
      <c r="M30" s="6"/>
      <c r="N30" s="21"/>
      <c r="O30" s="6">
        <f t="shared" si="0"/>
        <v>-34000</v>
      </c>
    </row>
    <row r="31" spans="1:15">
      <c r="A31" s="5">
        <v>46049</v>
      </c>
      <c r="B31" s="6"/>
      <c r="C31" s="6"/>
      <c r="D31" s="6"/>
      <c r="E31" s="6"/>
      <c r="F31" s="6"/>
      <c r="G31" s="6"/>
      <c r="H31" s="6"/>
      <c r="I31" s="6"/>
      <c r="J31" s="21"/>
      <c r="K31" s="6"/>
      <c r="L31" s="15"/>
      <c r="M31" s="6"/>
      <c r="N31" s="21"/>
      <c r="O31" s="6">
        <f t="shared" si="0"/>
        <v>-34000</v>
      </c>
    </row>
    <row r="32" spans="1:15">
      <c r="A32" s="5">
        <v>46050</v>
      </c>
      <c r="B32" s="6"/>
      <c r="C32" s="6"/>
      <c r="D32" s="6"/>
      <c r="E32" s="6"/>
      <c r="F32" s="6"/>
      <c r="G32" s="6"/>
      <c r="H32" s="6"/>
      <c r="I32" s="6"/>
      <c r="J32" s="21"/>
      <c r="K32" s="6"/>
      <c r="L32" s="15"/>
      <c r="M32" s="6"/>
      <c r="N32" s="21"/>
      <c r="O32" s="6">
        <f t="shared" si="0"/>
        <v>-34000</v>
      </c>
    </row>
    <row r="33" spans="1:15">
      <c r="A33" s="5">
        <v>46051</v>
      </c>
      <c r="B33" s="6"/>
      <c r="C33" s="6"/>
      <c r="D33" s="6"/>
      <c r="E33" s="6"/>
      <c r="F33" s="6"/>
      <c r="G33" s="6"/>
      <c r="H33" s="6"/>
      <c r="I33" s="6"/>
      <c r="J33" s="21"/>
      <c r="K33" s="6"/>
      <c r="L33" s="15"/>
      <c r="M33" s="6"/>
      <c r="N33" s="21"/>
      <c r="O33" s="6">
        <f t="shared" si="0"/>
        <v>-34000</v>
      </c>
    </row>
    <row r="34" spans="1:15">
      <c r="A34" s="5">
        <v>46052</v>
      </c>
      <c r="B34" s="6"/>
      <c r="C34" s="6"/>
      <c r="D34" s="6"/>
      <c r="E34" s="6"/>
      <c r="F34" s="6"/>
      <c r="G34" s="6"/>
      <c r="H34" s="6"/>
      <c r="I34" s="6"/>
      <c r="J34" s="21"/>
      <c r="K34" s="6"/>
      <c r="L34" s="15"/>
      <c r="M34" s="6"/>
      <c r="N34" s="21"/>
      <c r="O34" s="6">
        <f t="shared" si="0"/>
        <v>-34000</v>
      </c>
    </row>
    <row r="35" spans="1:15">
      <c r="A35" s="5">
        <v>46053</v>
      </c>
      <c r="B35" s="6"/>
      <c r="C35" s="6"/>
      <c r="D35" s="6"/>
      <c r="E35" s="6"/>
      <c r="F35" s="6"/>
      <c r="G35" s="6"/>
      <c r="H35" s="6"/>
      <c r="I35" s="6"/>
      <c r="J35" s="21"/>
      <c r="K35" s="6"/>
      <c r="L35" s="15"/>
      <c r="M35" s="6"/>
      <c r="N35" s="21"/>
      <c r="O35" s="6">
        <f t="shared" si="0"/>
        <v>-34000</v>
      </c>
    </row>
    <row r="36" spans="1:15" ht="15">
      <c r="A36" s="7" t="s">
        <v>10</v>
      </c>
      <c r="B36" s="8">
        <f>+SUM(B4:B35)</f>
        <v>0</v>
      </c>
      <c r="C36" s="8">
        <f t="shared" ref="C36:N36" si="1">+SUM(C4:C35)</f>
        <v>425</v>
      </c>
      <c r="D36" s="8">
        <f t="shared" si="1"/>
        <v>0</v>
      </c>
      <c r="E36" s="8">
        <f t="shared" si="1"/>
        <v>0</v>
      </c>
      <c r="F36" s="8">
        <f t="shared" si="1"/>
        <v>0</v>
      </c>
      <c r="G36" s="8">
        <f t="shared" si="1"/>
        <v>0</v>
      </c>
      <c r="H36" s="8">
        <f t="shared" si="1"/>
        <v>0</v>
      </c>
      <c r="I36" s="8">
        <f t="shared" si="1"/>
        <v>0</v>
      </c>
      <c r="J36" s="19">
        <f t="shared" si="1"/>
        <v>0</v>
      </c>
      <c r="K36" s="8">
        <f t="shared" si="1"/>
        <v>0</v>
      </c>
      <c r="L36" s="14">
        <f t="shared" si="1"/>
        <v>0</v>
      </c>
      <c r="M36" s="8">
        <f t="shared" si="1"/>
        <v>34000</v>
      </c>
      <c r="N36" s="19">
        <f t="shared" si="1"/>
        <v>0</v>
      </c>
      <c r="O36" s="8">
        <f>+M36-N36</f>
        <v>34000</v>
      </c>
    </row>
  </sheetData>
  <mergeCells count="7">
    <mergeCell ref="O2:O3"/>
    <mergeCell ref="A1:J1"/>
    <mergeCell ref="A2:A3"/>
    <mergeCell ref="B2:E2"/>
    <mergeCell ref="F2:J2"/>
    <mergeCell ref="M2:M3"/>
    <mergeCell ref="N2:N3"/>
  </mergeCells>
  <pageMargins left="0" right="0" top="0" bottom="0" header="0.31496062992125984" footer="0.31496062992125984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C19" sqref="C19"/>
    </sheetView>
  </sheetViews>
  <sheetFormatPr baseColWidth="10" defaultRowHeight="14.25"/>
  <cols>
    <col min="1" max="1" width="13.625" bestFit="1" customWidth="1"/>
    <col min="2" max="2" width="5.125" bestFit="1" customWidth="1"/>
    <col min="3" max="3" width="5.375" bestFit="1" customWidth="1"/>
    <col min="4" max="4" width="4.375" bestFit="1" customWidth="1"/>
    <col min="5" max="9" width="5.125" bestFit="1" customWidth="1"/>
    <col min="10" max="10" width="5.25" style="23" customWidth="1"/>
    <col min="11" max="11" width="5.125" bestFit="1" customWidth="1"/>
    <col min="12" max="12" width="4.75" style="17" customWidth="1"/>
    <col min="13" max="13" width="11" bestFit="1" customWidth="1"/>
    <col min="14" max="14" width="9.25" style="23" bestFit="1" customWidth="1"/>
    <col min="15" max="15" width="7.875" bestFit="1" customWidth="1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L1" s="18"/>
      <c r="M1" s="13" t="s">
        <v>17</v>
      </c>
      <c r="N1" s="24"/>
      <c r="O1" s="12">
        <v>46204</v>
      </c>
    </row>
    <row r="2" spans="1:15">
      <c r="A2" s="44" t="s">
        <v>0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1" t="s">
        <v>3</v>
      </c>
      <c r="L2" s="25" t="s">
        <v>4</v>
      </c>
      <c r="M2" s="42" t="s">
        <v>5</v>
      </c>
      <c r="N2" s="41" t="s">
        <v>7</v>
      </c>
      <c r="O2" s="42" t="s">
        <v>8</v>
      </c>
    </row>
    <row r="3" spans="1:15" ht="22.5">
      <c r="A3" s="44"/>
      <c r="B3" s="1">
        <v>40</v>
      </c>
      <c r="C3" s="1">
        <v>80</v>
      </c>
      <c r="D3" s="1">
        <v>100</v>
      </c>
      <c r="E3" s="1">
        <v>160</v>
      </c>
      <c r="F3" s="1">
        <v>40</v>
      </c>
      <c r="G3" s="1">
        <v>80</v>
      </c>
      <c r="H3" s="1">
        <v>125</v>
      </c>
      <c r="I3" s="1">
        <v>160</v>
      </c>
      <c r="J3" s="20" t="s">
        <v>6</v>
      </c>
      <c r="K3" s="1">
        <v>80</v>
      </c>
      <c r="L3" s="1">
        <v>100</v>
      </c>
      <c r="M3" s="42"/>
      <c r="N3" s="41"/>
      <c r="O3" s="42"/>
    </row>
    <row r="4" spans="1:15">
      <c r="A4" s="4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0">
        <v>0</v>
      </c>
      <c r="K4" s="1">
        <v>0</v>
      </c>
      <c r="L4" s="1">
        <v>0</v>
      </c>
      <c r="M4" s="1">
        <v>0</v>
      </c>
      <c r="N4" s="20">
        <v>0</v>
      </c>
      <c r="O4" s="2">
        <v>0</v>
      </c>
    </row>
    <row r="5" spans="1:15">
      <c r="A5" s="5">
        <v>46023</v>
      </c>
      <c r="B5" s="6"/>
      <c r="C5" s="6"/>
      <c r="D5" s="6"/>
      <c r="E5" s="6"/>
      <c r="F5" s="6"/>
      <c r="G5" s="6"/>
      <c r="H5" s="6"/>
      <c r="I5" s="6"/>
      <c r="J5" s="21"/>
      <c r="K5" s="6"/>
      <c r="L5" s="15"/>
      <c r="M5" s="6"/>
      <c r="N5" s="21"/>
      <c r="O5" s="6">
        <f>N5-M5+O4</f>
        <v>0</v>
      </c>
    </row>
    <row r="6" spans="1:15">
      <c r="A6" s="5">
        <v>46024</v>
      </c>
      <c r="B6" s="6"/>
      <c r="C6" s="6"/>
      <c r="D6" s="6"/>
      <c r="E6" s="6"/>
      <c r="F6" s="6"/>
      <c r="G6" s="6"/>
      <c r="H6" s="6"/>
      <c r="I6" s="6"/>
      <c r="J6" s="21"/>
      <c r="K6" s="6"/>
      <c r="L6" s="15"/>
      <c r="M6" s="6"/>
      <c r="N6" s="21"/>
      <c r="O6" s="6">
        <f t="shared" ref="O6:O35" si="0">N6-M6+O5</f>
        <v>0</v>
      </c>
    </row>
    <row r="7" spans="1:15">
      <c r="A7" s="5">
        <v>46025</v>
      </c>
      <c r="B7" s="6"/>
      <c r="C7" s="6"/>
      <c r="D7" s="6"/>
      <c r="E7" s="6"/>
      <c r="F7" s="6"/>
      <c r="G7" s="6"/>
      <c r="H7" s="6"/>
      <c r="I7" s="6"/>
      <c r="J7" s="21"/>
      <c r="K7" s="6"/>
      <c r="L7" s="15"/>
      <c r="M7" s="6"/>
      <c r="N7" s="21"/>
      <c r="O7" s="6">
        <f t="shared" si="0"/>
        <v>0</v>
      </c>
    </row>
    <row r="8" spans="1:15">
      <c r="A8" s="5">
        <v>46026</v>
      </c>
      <c r="B8" s="6"/>
      <c r="C8" s="6"/>
      <c r="D8" s="6"/>
      <c r="E8" s="6"/>
      <c r="F8" s="6"/>
      <c r="G8" s="6"/>
      <c r="H8" s="6"/>
      <c r="I8" s="6"/>
      <c r="J8" s="21"/>
      <c r="K8" s="6"/>
      <c r="L8" s="15"/>
      <c r="M8" s="6"/>
      <c r="N8" s="21"/>
      <c r="O8" s="6">
        <f t="shared" si="0"/>
        <v>0</v>
      </c>
    </row>
    <row r="9" spans="1:15">
      <c r="A9" s="5">
        <v>46027</v>
      </c>
      <c r="B9" s="6"/>
      <c r="C9" s="6"/>
      <c r="D9" s="6"/>
      <c r="E9" s="6"/>
      <c r="F9" s="6"/>
      <c r="G9" s="6"/>
      <c r="H9" s="6"/>
      <c r="I9" s="6"/>
      <c r="J9" s="21"/>
      <c r="K9" s="6"/>
      <c r="L9" s="15"/>
      <c r="M9" s="6"/>
      <c r="N9" s="21"/>
      <c r="O9" s="6">
        <f t="shared" si="0"/>
        <v>0</v>
      </c>
    </row>
    <row r="10" spans="1:15">
      <c r="A10" s="5">
        <v>46028</v>
      </c>
      <c r="B10" s="6"/>
      <c r="C10" s="6"/>
      <c r="D10" s="6"/>
      <c r="E10" s="6"/>
      <c r="F10" s="6"/>
      <c r="G10" s="6"/>
      <c r="H10" s="6"/>
      <c r="I10" s="6"/>
      <c r="J10" s="21"/>
      <c r="K10" s="6"/>
      <c r="L10" s="15"/>
      <c r="M10" s="6"/>
      <c r="N10" s="21"/>
      <c r="O10" s="6">
        <f t="shared" si="0"/>
        <v>0</v>
      </c>
    </row>
    <row r="11" spans="1:15">
      <c r="A11" s="5">
        <v>46029</v>
      </c>
      <c r="B11" s="6"/>
      <c r="C11" s="6"/>
      <c r="D11" s="6"/>
      <c r="E11" s="6"/>
      <c r="F11" s="6"/>
      <c r="G11" s="6"/>
      <c r="H11" s="6"/>
      <c r="I11" s="6"/>
      <c r="J11" s="21"/>
      <c r="K11" s="6"/>
      <c r="L11" s="15"/>
      <c r="M11" s="6"/>
      <c r="N11" s="21"/>
      <c r="O11" s="6">
        <f t="shared" si="0"/>
        <v>0</v>
      </c>
    </row>
    <row r="12" spans="1:15">
      <c r="A12" s="5">
        <v>46030</v>
      </c>
      <c r="B12" s="6"/>
      <c r="C12" s="6"/>
      <c r="D12" s="6"/>
      <c r="E12" s="6"/>
      <c r="F12" s="6"/>
      <c r="G12" s="6"/>
      <c r="H12" s="6"/>
      <c r="I12" s="6"/>
      <c r="J12" s="21"/>
      <c r="K12" s="6"/>
      <c r="L12" s="15"/>
      <c r="M12" s="6"/>
      <c r="N12" s="21"/>
      <c r="O12" s="6">
        <f t="shared" si="0"/>
        <v>0</v>
      </c>
    </row>
    <row r="13" spans="1:15">
      <c r="A13" s="5">
        <v>46031</v>
      </c>
      <c r="B13" s="6"/>
      <c r="C13" s="6"/>
      <c r="D13" s="6"/>
      <c r="E13" s="6"/>
      <c r="F13" s="6"/>
      <c r="G13" s="6"/>
      <c r="H13" s="6"/>
      <c r="I13" s="6"/>
      <c r="J13" s="21"/>
      <c r="K13" s="6"/>
      <c r="L13" s="15"/>
      <c r="M13" s="6"/>
      <c r="N13" s="21"/>
      <c r="O13" s="6">
        <f t="shared" si="0"/>
        <v>0</v>
      </c>
    </row>
    <row r="14" spans="1:15">
      <c r="A14" s="5">
        <v>46032</v>
      </c>
      <c r="B14" s="6"/>
      <c r="C14" s="6"/>
      <c r="D14" s="6"/>
      <c r="E14" s="6"/>
      <c r="F14" s="6"/>
      <c r="G14" s="6"/>
      <c r="H14" s="6"/>
      <c r="I14" s="6"/>
      <c r="J14" s="21"/>
      <c r="K14" s="6"/>
      <c r="L14" s="15"/>
      <c r="M14" s="6"/>
      <c r="N14" s="21"/>
      <c r="O14" s="6">
        <f t="shared" si="0"/>
        <v>0</v>
      </c>
    </row>
    <row r="15" spans="1:15">
      <c r="A15" s="5">
        <v>46033</v>
      </c>
      <c r="B15" s="6"/>
      <c r="C15" s="6"/>
      <c r="D15" s="6"/>
      <c r="E15" s="6"/>
      <c r="F15" s="6"/>
      <c r="G15" s="6"/>
      <c r="H15" s="6"/>
      <c r="I15" s="6"/>
      <c r="J15" s="21"/>
      <c r="K15" s="6"/>
      <c r="L15" s="15"/>
      <c r="M15" s="6"/>
      <c r="N15" s="21"/>
      <c r="O15" s="6">
        <f t="shared" si="0"/>
        <v>0</v>
      </c>
    </row>
    <row r="16" spans="1:15">
      <c r="A16" s="5">
        <v>46034</v>
      </c>
      <c r="B16" s="6"/>
      <c r="C16" s="6"/>
      <c r="D16" s="6"/>
      <c r="E16" s="6"/>
      <c r="F16" s="6"/>
      <c r="G16" s="6"/>
      <c r="H16" s="6"/>
      <c r="I16" s="6"/>
      <c r="J16" s="21"/>
      <c r="K16" s="6"/>
      <c r="L16" s="15"/>
      <c r="M16" s="6"/>
      <c r="N16" s="21"/>
      <c r="O16" s="6">
        <f t="shared" si="0"/>
        <v>0</v>
      </c>
    </row>
    <row r="17" spans="1:15">
      <c r="A17" s="5">
        <v>46035</v>
      </c>
      <c r="B17" s="6"/>
      <c r="C17" s="6"/>
      <c r="D17" s="6"/>
      <c r="E17" s="6"/>
      <c r="F17" s="6"/>
      <c r="G17" s="6"/>
      <c r="H17" s="6"/>
      <c r="I17" s="6"/>
      <c r="J17" s="21"/>
      <c r="K17" s="6"/>
      <c r="L17" s="15"/>
      <c r="M17" s="6"/>
      <c r="N17" s="21"/>
      <c r="O17" s="6">
        <f t="shared" si="0"/>
        <v>0</v>
      </c>
    </row>
    <row r="18" spans="1:15">
      <c r="A18" s="5">
        <v>46036</v>
      </c>
      <c r="B18" s="6"/>
      <c r="C18" s="6"/>
      <c r="D18" s="6"/>
      <c r="E18" s="6"/>
      <c r="F18" s="6"/>
      <c r="G18" s="6"/>
      <c r="H18" s="6"/>
      <c r="I18" s="6"/>
      <c r="J18" s="21"/>
      <c r="K18" s="6"/>
      <c r="L18" s="15"/>
      <c r="M18" s="6"/>
      <c r="N18" s="21"/>
      <c r="O18" s="6">
        <f t="shared" si="0"/>
        <v>0</v>
      </c>
    </row>
    <row r="19" spans="1:15">
      <c r="A19" s="5">
        <v>46037</v>
      </c>
      <c r="B19" s="6">
        <f>+'[1]LIVREUR INTERNE ETC'!B$9</f>
        <v>0</v>
      </c>
      <c r="C19" s="6">
        <f>+'[1]LIVREUR INTERNE ETC'!C$9</f>
        <v>242</v>
      </c>
      <c r="D19" s="6">
        <f>+'[1]LIVREUR INTERNE ETC'!D$9</f>
        <v>15</v>
      </c>
      <c r="E19" s="6">
        <f>+'[1]LIVREUR INTERNE ETC'!E$9</f>
        <v>0</v>
      </c>
      <c r="F19" s="6">
        <f>+'[1]LIVREUR INTERNE ETC'!F$9</f>
        <v>0</v>
      </c>
      <c r="G19" s="6">
        <f>+'[1]LIVREUR INTERNE ETC'!G$9</f>
        <v>0</v>
      </c>
      <c r="H19" s="6">
        <f>+'[1]LIVREUR INTERNE ETC'!H$9</f>
        <v>0</v>
      </c>
      <c r="I19" s="6">
        <f>+'[1]LIVREUR INTERNE ETC'!I$9</f>
        <v>0</v>
      </c>
      <c r="J19" s="21">
        <f>+'[1]LIVREUR INTERNE ETC'!J$9</f>
        <v>0</v>
      </c>
      <c r="K19" s="6">
        <f>+'[1]LIVREUR INTERNE ETC'!K$9</f>
        <v>0</v>
      </c>
      <c r="L19" s="15">
        <f>+'[1]LIVREUR INTERNE ETC'!L$9</f>
        <v>0</v>
      </c>
      <c r="M19" s="6">
        <f>+'[1]LIVREUR INTERNE ETC'!M$9</f>
        <v>20860</v>
      </c>
      <c r="N19" s="21">
        <f>+'[1]LIVREUR INTERNE ETC'!Q$9</f>
        <v>0</v>
      </c>
      <c r="O19" s="6">
        <f t="shared" si="0"/>
        <v>-20860</v>
      </c>
    </row>
    <row r="20" spans="1:15">
      <c r="A20" s="5">
        <v>46038</v>
      </c>
      <c r="B20" s="6"/>
      <c r="C20" s="6"/>
      <c r="D20" s="6"/>
      <c r="E20" s="6"/>
      <c r="F20" s="6"/>
      <c r="G20" s="6"/>
      <c r="H20" s="6"/>
      <c r="I20" s="6"/>
      <c r="J20" s="21"/>
      <c r="K20" s="6"/>
      <c r="L20" s="15"/>
      <c r="M20" s="6"/>
      <c r="N20" s="21"/>
      <c r="O20" s="6">
        <f t="shared" si="0"/>
        <v>-20860</v>
      </c>
    </row>
    <row r="21" spans="1:15">
      <c r="A21" s="5">
        <v>46039</v>
      </c>
      <c r="B21" s="6"/>
      <c r="C21" s="6"/>
      <c r="D21" s="6"/>
      <c r="E21" s="6"/>
      <c r="F21" s="6"/>
      <c r="G21" s="6"/>
      <c r="H21" s="6"/>
      <c r="I21" s="6"/>
      <c r="J21" s="21"/>
      <c r="K21" s="6"/>
      <c r="L21" s="15"/>
      <c r="M21" s="6"/>
      <c r="N21" s="21"/>
      <c r="O21" s="6">
        <f t="shared" si="0"/>
        <v>-20860</v>
      </c>
    </row>
    <row r="22" spans="1:15">
      <c r="A22" s="5">
        <v>46040</v>
      </c>
      <c r="B22" s="6"/>
      <c r="C22" s="6"/>
      <c r="D22" s="6"/>
      <c r="E22" s="6"/>
      <c r="F22" s="6"/>
      <c r="G22" s="6"/>
      <c r="H22" s="6"/>
      <c r="I22" s="6"/>
      <c r="J22" s="21"/>
      <c r="K22" s="6"/>
      <c r="L22" s="15"/>
      <c r="M22" s="6"/>
      <c r="N22" s="21"/>
      <c r="O22" s="6">
        <f t="shared" si="0"/>
        <v>-20860</v>
      </c>
    </row>
    <row r="23" spans="1:15">
      <c r="A23" s="5">
        <v>46041</v>
      </c>
      <c r="B23" s="6"/>
      <c r="C23" s="6"/>
      <c r="D23" s="6"/>
      <c r="E23" s="6"/>
      <c r="F23" s="6"/>
      <c r="G23" s="6"/>
      <c r="H23" s="6"/>
      <c r="I23" s="6"/>
      <c r="J23" s="21"/>
      <c r="K23" s="6"/>
      <c r="L23" s="15"/>
      <c r="M23" s="6"/>
      <c r="N23" s="21"/>
      <c r="O23" s="6">
        <f t="shared" si="0"/>
        <v>-20860</v>
      </c>
    </row>
    <row r="24" spans="1:15">
      <c r="A24" s="5">
        <v>46042</v>
      </c>
      <c r="B24" s="6"/>
      <c r="C24" s="6"/>
      <c r="D24" s="6"/>
      <c r="E24" s="6"/>
      <c r="F24" s="6"/>
      <c r="G24" s="6"/>
      <c r="H24" s="6"/>
      <c r="I24" s="6"/>
      <c r="J24" s="21"/>
      <c r="K24" s="6"/>
      <c r="L24" s="15"/>
      <c r="M24" s="6"/>
      <c r="N24" s="21"/>
      <c r="O24" s="6">
        <f t="shared" si="0"/>
        <v>-20860</v>
      </c>
    </row>
    <row r="25" spans="1:15">
      <c r="A25" s="5">
        <v>46043</v>
      </c>
      <c r="B25" s="6"/>
      <c r="C25" s="6"/>
      <c r="D25" s="6"/>
      <c r="E25" s="6"/>
      <c r="F25" s="6"/>
      <c r="G25" s="6"/>
      <c r="H25" s="6"/>
      <c r="I25" s="6"/>
      <c r="J25" s="21"/>
      <c r="K25" s="6"/>
      <c r="L25" s="15"/>
      <c r="M25" s="6"/>
      <c r="N25" s="21"/>
      <c r="O25" s="6">
        <f t="shared" si="0"/>
        <v>-20860</v>
      </c>
    </row>
    <row r="26" spans="1:15">
      <c r="A26" s="5">
        <v>46044</v>
      </c>
      <c r="B26" s="6"/>
      <c r="C26" s="6"/>
      <c r="D26" s="6"/>
      <c r="E26" s="6"/>
      <c r="F26" s="6"/>
      <c r="G26" s="6"/>
      <c r="H26" s="6"/>
      <c r="I26" s="6"/>
      <c r="J26" s="21"/>
      <c r="K26" s="6"/>
      <c r="L26" s="15"/>
      <c r="M26" s="6"/>
      <c r="N26" s="21"/>
      <c r="O26" s="6">
        <f t="shared" si="0"/>
        <v>-20860</v>
      </c>
    </row>
    <row r="27" spans="1:15">
      <c r="A27" s="5">
        <v>46045</v>
      </c>
      <c r="B27" s="6"/>
      <c r="C27" s="6"/>
      <c r="D27" s="6"/>
      <c r="E27" s="6"/>
      <c r="F27" s="6"/>
      <c r="G27" s="6"/>
      <c r="H27" s="6"/>
      <c r="I27" s="6"/>
      <c r="J27" s="21"/>
      <c r="K27" s="6"/>
      <c r="L27" s="15"/>
      <c r="M27" s="6"/>
      <c r="N27" s="21"/>
      <c r="O27" s="6">
        <f t="shared" si="0"/>
        <v>-20860</v>
      </c>
    </row>
    <row r="28" spans="1:15">
      <c r="A28" s="5">
        <v>46046</v>
      </c>
      <c r="B28" s="6"/>
      <c r="C28" s="6"/>
      <c r="D28" s="6"/>
      <c r="E28" s="6"/>
      <c r="F28" s="6"/>
      <c r="G28" s="6"/>
      <c r="H28" s="6"/>
      <c r="I28" s="6"/>
      <c r="J28" s="21"/>
      <c r="K28" s="6"/>
      <c r="L28" s="15"/>
      <c r="M28" s="6"/>
      <c r="N28" s="21"/>
      <c r="O28" s="6">
        <f t="shared" si="0"/>
        <v>-20860</v>
      </c>
    </row>
    <row r="29" spans="1:15">
      <c r="A29" s="5">
        <v>46047</v>
      </c>
      <c r="B29" s="6"/>
      <c r="C29" s="6"/>
      <c r="D29" s="6"/>
      <c r="E29" s="6"/>
      <c r="F29" s="6"/>
      <c r="G29" s="6"/>
      <c r="H29" s="6"/>
      <c r="I29" s="6"/>
      <c r="J29" s="21"/>
      <c r="K29" s="6"/>
      <c r="L29" s="15"/>
      <c r="M29" s="6"/>
      <c r="N29" s="21"/>
      <c r="O29" s="6">
        <f t="shared" si="0"/>
        <v>-20860</v>
      </c>
    </row>
    <row r="30" spans="1:15">
      <c r="A30" s="5">
        <v>46048</v>
      </c>
      <c r="B30" s="6"/>
      <c r="C30" s="6"/>
      <c r="D30" s="6"/>
      <c r="E30" s="6"/>
      <c r="F30" s="6"/>
      <c r="G30" s="6"/>
      <c r="H30" s="6"/>
      <c r="I30" s="6"/>
      <c r="J30" s="21"/>
      <c r="K30" s="6"/>
      <c r="L30" s="15"/>
      <c r="M30" s="6"/>
      <c r="N30" s="21"/>
      <c r="O30" s="6">
        <f t="shared" si="0"/>
        <v>-20860</v>
      </c>
    </row>
    <row r="31" spans="1:15">
      <c r="A31" s="5">
        <v>46049</v>
      </c>
      <c r="B31" s="6"/>
      <c r="C31" s="6"/>
      <c r="D31" s="6"/>
      <c r="E31" s="6"/>
      <c r="F31" s="6"/>
      <c r="G31" s="6"/>
      <c r="H31" s="6"/>
      <c r="I31" s="6"/>
      <c r="J31" s="21"/>
      <c r="K31" s="6"/>
      <c r="L31" s="15"/>
      <c r="M31" s="6"/>
      <c r="N31" s="21"/>
      <c r="O31" s="6">
        <f t="shared" si="0"/>
        <v>-20860</v>
      </c>
    </row>
    <row r="32" spans="1:15">
      <c r="A32" s="5">
        <v>46050</v>
      </c>
      <c r="B32" s="6"/>
      <c r="C32" s="6"/>
      <c r="D32" s="6"/>
      <c r="E32" s="6"/>
      <c r="F32" s="6"/>
      <c r="G32" s="6"/>
      <c r="H32" s="6"/>
      <c r="I32" s="6"/>
      <c r="J32" s="21"/>
      <c r="K32" s="6"/>
      <c r="L32" s="15"/>
      <c r="M32" s="6"/>
      <c r="N32" s="21"/>
      <c r="O32" s="6">
        <f t="shared" si="0"/>
        <v>-20860</v>
      </c>
    </row>
    <row r="33" spans="1:15">
      <c r="A33" s="5">
        <v>46051</v>
      </c>
      <c r="B33" s="6"/>
      <c r="C33" s="6"/>
      <c r="D33" s="6"/>
      <c r="E33" s="6"/>
      <c r="F33" s="6"/>
      <c r="G33" s="6"/>
      <c r="H33" s="6"/>
      <c r="I33" s="6"/>
      <c r="J33" s="21"/>
      <c r="K33" s="6"/>
      <c r="L33" s="15"/>
      <c r="M33" s="6"/>
      <c r="N33" s="21"/>
      <c r="O33" s="6">
        <f t="shared" si="0"/>
        <v>-20860</v>
      </c>
    </row>
    <row r="34" spans="1:15">
      <c r="A34" s="5">
        <v>46052</v>
      </c>
      <c r="B34" s="6"/>
      <c r="C34" s="6"/>
      <c r="D34" s="6"/>
      <c r="E34" s="6"/>
      <c r="F34" s="6"/>
      <c r="G34" s="6"/>
      <c r="H34" s="6"/>
      <c r="I34" s="6"/>
      <c r="J34" s="21"/>
      <c r="K34" s="6"/>
      <c r="L34" s="15"/>
      <c r="M34" s="6"/>
      <c r="N34" s="21"/>
      <c r="O34" s="6">
        <f t="shared" si="0"/>
        <v>-20860</v>
      </c>
    </row>
    <row r="35" spans="1:15">
      <c r="A35" s="5">
        <v>46053</v>
      </c>
      <c r="B35" s="6"/>
      <c r="C35" s="6"/>
      <c r="D35" s="6"/>
      <c r="E35" s="6"/>
      <c r="F35" s="6"/>
      <c r="G35" s="6"/>
      <c r="H35" s="6"/>
      <c r="I35" s="6"/>
      <c r="J35" s="21"/>
      <c r="K35" s="6"/>
      <c r="L35" s="15"/>
      <c r="M35" s="6"/>
      <c r="N35" s="21"/>
      <c r="O35" s="6">
        <f t="shared" si="0"/>
        <v>-20860</v>
      </c>
    </row>
    <row r="36" spans="1:15" ht="15">
      <c r="A36" s="7" t="s">
        <v>10</v>
      </c>
      <c r="B36" s="8">
        <f>+SUM(B4:B35)</f>
        <v>0</v>
      </c>
      <c r="C36" s="8">
        <f t="shared" ref="C36:N36" si="1">+SUM(C4:C35)</f>
        <v>242</v>
      </c>
      <c r="D36" s="8">
        <f t="shared" si="1"/>
        <v>15</v>
      </c>
      <c r="E36" s="8">
        <f t="shared" si="1"/>
        <v>0</v>
      </c>
      <c r="F36" s="8">
        <f t="shared" si="1"/>
        <v>0</v>
      </c>
      <c r="G36" s="8">
        <f t="shared" si="1"/>
        <v>0</v>
      </c>
      <c r="H36" s="8">
        <f t="shared" si="1"/>
        <v>0</v>
      </c>
      <c r="I36" s="8">
        <f t="shared" si="1"/>
        <v>0</v>
      </c>
      <c r="J36" s="19">
        <f t="shared" si="1"/>
        <v>0</v>
      </c>
      <c r="K36" s="8">
        <f t="shared" si="1"/>
        <v>0</v>
      </c>
      <c r="L36" s="14">
        <f t="shared" si="1"/>
        <v>0</v>
      </c>
      <c r="M36" s="8">
        <f t="shared" si="1"/>
        <v>20860</v>
      </c>
      <c r="N36" s="19">
        <f t="shared" si="1"/>
        <v>0</v>
      </c>
      <c r="O36" s="8">
        <f>+M36-N36</f>
        <v>20860</v>
      </c>
    </row>
  </sheetData>
  <mergeCells count="7">
    <mergeCell ref="O2:O3"/>
    <mergeCell ref="A1:J1"/>
    <mergeCell ref="A2:A3"/>
    <mergeCell ref="B2:E2"/>
    <mergeCell ref="F2:J2"/>
    <mergeCell ref="M2:M3"/>
    <mergeCell ref="N2:N3"/>
  </mergeCells>
  <pageMargins left="0" right="0" top="0" bottom="0" header="0.31496062992125984" footer="0.31496062992125984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opLeftCell="A5" workbookViewId="0">
      <selection activeCell="A5" sqref="A1:XFD1048576"/>
    </sheetView>
  </sheetViews>
  <sheetFormatPr baseColWidth="10" defaultRowHeight="14.25"/>
  <cols>
    <col min="2" max="2" width="5.875" bestFit="1" customWidth="1"/>
    <col min="3" max="9" width="5.125" bestFit="1" customWidth="1"/>
    <col min="10" max="10" width="5.125" style="23" bestFit="1" customWidth="1"/>
    <col min="11" max="11" width="5.125" bestFit="1" customWidth="1"/>
    <col min="12" max="12" width="4.75" style="17" customWidth="1"/>
    <col min="13" max="13" width="8.25" bestFit="1" customWidth="1"/>
    <col min="14" max="14" width="11.375" style="23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K1" s="26"/>
      <c r="L1" s="27"/>
      <c r="M1" s="28" t="s">
        <v>26</v>
      </c>
      <c r="N1" s="29"/>
      <c r="O1" s="30">
        <v>46204</v>
      </c>
    </row>
    <row r="2" spans="1:15" s="37" customFormat="1" ht="15">
      <c r="A2" s="47" t="s">
        <v>24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45" t="s">
        <v>3</v>
      </c>
      <c r="L2" s="45" t="s">
        <v>19</v>
      </c>
      <c r="M2" s="42" t="s">
        <v>5</v>
      </c>
      <c r="N2" s="42" t="s">
        <v>7</v>
      </c>
      <c r="O2" s="42" t="s">
        <v>25</v>
      </c>
    </row>
    <row r="3" spans="1:15" s="37" customFormat="1" ht="36">
      <c r="A3" s="47"/>
      <c r="B3" s="45" t="s">
        <v>20</v>
      </c>
      <c r="C3" s="45"/>
      <c r="D3" s="20" t="s">
        <v>21</v>
      </c>
      <c r="E3" s="1" t="s">
        <v>22</v>
      </c>
      <c r="F3" s="45" t="s">
        <v>20</v>
      </c>
      <c r="G3" s="45"/>
      <c r="H3" s="1" t="s">
        <v>21</v>
      </c>
      <c r="I3" s="1" t="s">
        <v>23</v>
      </c>
      <c r="J3" s="1" t="s">
        <v>6</v>
      </c>
      <c r="K3" s="45"/>
      <c r="L3" s="45"/>
      <c r="M3" s="42"/>
      <c r="N3" s="42"/>
      <c r="O3" s="42"/>
    </row>
    <row r="4" spans="1:15" s="37" customFormat="1" ht="15">
      <c r="A4" s="47"/>
      <c r="B4" s="36">
        <v>80</v>
      </c>
      <c r="C4" s="36">
        <v>115</v>
      </c>
      <c r="D4" s="36">
        <v>40</v>
      </c>
      <c r="E4" s="36">
        <v>40</v>
      </c>
      <c r="F4" s="36">
        <v>80</v>
      </c>
      <c r="G4" s="36">
        <v>115</v>
      </c>
      <c r="H4" s="36">
        <v>40</v>
      </c>
      <c r="I4" s="36">
        <v>40</v>
      </c>
      <c r="J4" s="36"/>
      <c r="K4" s="36">
        <v>80</v>
      </c>
      <c r="L4" s="1">
        <v>500</v>
      </c>
      <c r="M4" s="42"/>
      <c r="N4" s="42"/>
      <c r="O4" s="42"/>
    </row>
    <row r="5" spans="1:15">
      <c r="A5" s="31" t="s">
        <v>9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2">
        <v>0</v>
      </c>
    </row>
    <row r="6" spans="1:15">
      <c r="A6" s="5">
        <v>46204</v>
      </c>
      <c r="B6" s="32"/>
      <c r="C6" s="32"/>
      <c r="D6" s="32"/>
      <c r="E6" s="32"/>
      <c r="F6" s="32"/>
      <c r="G6" s="32"/>
      <c r="H6" s="32"/>
      <c r="I6" s="32"/>
      <c r="J6" s="33"/>
      <c r="K6" s="32"/>
      <c r="L6" s="34"/>
      <c r="M6" s="32"/>
      <c r="N6" s="33"/>
      <c r="O6" s="35">
        <f>-N6+M6+O5</f>
        <v>0</v>
      </c>
    </row>
    <row r="7" spans="1:15">
      <c r="A7" s="5">
        <v>46205</v>
      </c>
      <c r="B7" s="32"/>
      <c r="C7" s="32"/>
      <c r="D7" s="32"/>
      <c r="E7" s="32"/>
      <c r="F7" s="32"/>
      <c r="G7" s="32"/>
      <c r="H7" s="32"/>
      <c r="I7" s="32"/>
      <c r="J7" s="33"/>
      <c r="K7" s="32"/>
      <c r="L7" s="34"/>
      <c r="M7" s="32"/>
      <c r="N7" s="33"/>
      <c r="O7" s="35">
        <f t="shared" ref="O7:O36" si="0">-N7+M7+O6</f>
        <v>0</v>
      </c>
    </row>
    <row r="8" spans="1:15">
      <c r="A8" s="5">
        <v>46206</v>
      </c>
      <c r="B8" s="32"/>
      <c r="C8" s="32"/>
      <c r="D8" s="32"/>
      <c r="E8" s="32"/>
      <c r="F8" s="32"/>
      <c r="G8" s="32"/>
      <c r="H8" s="32"/>
      <c r="I8" s="32"/>
      <c r="J8" s="33"/>
      <c r="K8" s="32"/>
      <c r="L8" s="34"/>
      <c r="M8" s="32"/>
      <c r="N8" s="33"/>
      <c r="O8" s="35">
        <f t="shared" si="0"/>
        <v>0</v>
      </c>
    </row>
    <row r="9" spans="1:15">
      <c r="A9" s="5">
        <v>46207</v>
      </c>
      <c r="B9" s="32"/>
      <c r="C9" s="32"/>
      <c r="D9" s="32"/>
      <c r="E9" s="32"/>
      <c r="F9" s="32"/>
      <c r="G9" s="32"/>
      <c r="H9" s="32"/>
      <c r="I9" s="32"/>
      <c r="J9" s="33"/>
      <c r="K9" s="32"/>
      <c r="L9" s="34"/>
      <c r="M9" s="32"/>
      <c r="N9" s="33"/>
      <c r="O9" s="35">
        <f t="shared" si="0"/>
        <v>0</v>
      </c>
    </row>
    <row r="10" spans="1:15">
      <c r="A10" s="5">
        <v>46208</v>
      </c>
      <c r="B10" s="32"/>
      <c r="C10" s="32"/>
      <c r="D10" s="32"/>
      <c r="E10" s="32"/>
      <c r="F10" s="32"/>
      <c r="G10" s="32"/>
      <c r="H10" s="32"/>
      <c r="I10" s="32"/>
      <c r="J10" s="33"/>
      <c r="K10" s="32"/>
      <c r="L10" s="34"/>
      <c r="M10" s="32"/>
      <c r="N10" s="33"/>
      <c r="O10" s="35">
        <f t="shared" si="0"/>
        <v>0</v>
      </c>
    </row>
    <row r="11" spans="1:15">
      <c r="A11" s="5">
        <v>46209</v>
      </c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4"/>
      <c r="M11" s="32"/>
      <c r="N11" s="33"/>
      <c r="O11" s="35">
        <f t="shared" si="0"/>
        <v>0</v>
      </c>
    </row>
    <row r="12" spans="1:15">
      <c r="A12" s="5">
        <v>46210</v>
      </c>
      <c r="B12" s="32"/>
      <c r="C12" s="32"/>
      <c r="D12" s="32"/>
      <c r="E12" s="32"/>
      <c r="F12" s="32"/>
      <c r="G12" s="32"/>
      <c r="H12" s="32"/>
      <c r="I12" s="32"/>
      <c r="J12" s="33"/>
      <c r="K12" s="32"/>
      <c r="L12" s="34"/>
      <c r="M12" s="32"/>
      <c r="N12" s="33"/>
      <c r="O12" s="35">
        <f t="shared" si="0"/>
        <v>0</v>
      </c>
    </row>
    <row r="13" spans="1:15">
      <c r="A13" s="5">
        <v>46211</v>
      </c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4"/>
      <c r="M13" s="32"/>
      <c r="N13" s="33"/>
      <c r="O13" s="35">
        <f t="shared" si="0"/>
        <v>0</v>
      </c>
    </row>
    <row r="14" spans="1:15">
      <c r="A14" s="5">
        <v>46212</v>
      </c>
      <c r="B14" s="32"/>
      <c r="C14" s="32"/>
      <c r="D14" s="32"/>
      <c r="E14" s="32"/>
      <c r="F14" s="32"/>
      <c r="G14" s="32"/>
      <c r="H14" s="32"/>
      <c r="I14" s="32"/>
      <c r="J14" s="33"/>
      <c r="K14" s="32"/>
      <c r="L14" s="34"/>
      <c r="M14" s="32"/>
      <c r="N14" s="33"/>
      <c r="O14" s="35">
        <f t="shared" si="0"/>
        <v>0</v>
      </c>
    </row>
    <row r="15" spans="1:15">
      <c r="A15" s="5">
        <v>46213</v>
      </c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4"/>
      <c r="M15" s="32"/>
      <c r="N15" s="33"/>
      <c r="O15" s="35">
        <f t="shared" si="0"/>
        <v>0</v>
      </c>
    </row>
    <row r="16" spans="1:15">
      <c r="A16" s="5">
        <v>46214</v>
      </c>
      <c r="B16" s="32"/>
      <c r="C16" s="32"/>
      <c r="D16" s="32"/>
      <c r="E16" s="32"/>
      <c r="F16" s="32"/>
      <c r="G16" s="32"/>
      <c r="H16" s="32"/>
      <c r="I16" s="32"/>
      <c r="J16" s="33"/>
      <c r="K16" s="32"/>
      <c r="L16" s="34"/>
      <c r="M16" s="32"/>
      <c r="N16" s="33"/>
      <c r="O16" s="35">
        <f t="shared" si="0"/>
        <v>0</v>
      </c>
    </row>
    <row r="17" spans="1:15">
      <c r="A17" s="5">
        <v>46215</v>
      </c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4"/>
      <c r="M17" s="32"/>
      <c r="N17" s="33"/>
      <c r="O17" s="35">
        <f t="shared" si="0"/>
        <v>0</v>
      </c>
    </row>
    <row r="18" spans="1:15">
      <c r="A18" s="5">
        <v>46216</v>
      </c>
      <c r="B18" s="32"/>
      <c r="C18" s="32"/>
      <c r="D18" s="32"/>
      <c r="E18" s="32"/>
      <c r="F18" s="32"/>
      <c r="G18" s="32"/>
      <c r="H18" s="32"/>
      <c r="I18" s="32"/>
      <c r="J18" s="33"/>
      <c r="K18" s="32"/>
      <c r="L18" s="34"/>
      <c r="M18" s="32"/>
      <c r="N18" s="33"/>
      <c r="O18" s="35">
        <f t="shared" si="0"/>
        <v>0</v>
      </c>
    </row>
    <row r="19" spans="1:15">
      <c r="A19" s="5">
        <v>46217</v>
      </c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4"/>
      <c r="M19" s="32"/>
      <c r="N19" s="33"/>
      <c r="O19" s="35">
        <f t="shared" si="0"/>
        <v>0</v>
      </c>
    </row>
    <row r="20" spans="1:15">
      <c r="A20" s="5">
        <v>46218</v>
      </c>
      <c r="B20" s="32">
        <f>+'[1]LIVREUR INTERNE ETC'!B$20</f>
        <v>120</v>
      </c>
      <c r="C20" s="32">
        <f>+'[1]LIVREUR INTERNE ETC'!C$20</f>
        <v>0</v>
      </c>
      <c r="D20" s="32">
        <f>+'[1]LIVREUR INTERNE ETC'!D$20</f>
        <v>0</v>
      </c>
      <c r="E20" s="32">
        <f>+'[1]LIVREUR INTERNE ETC'!E$20</f>
        <v>0</v>
      </c>
      <c r="F20" s="32">
        <f>+'[1]LIVREUR INTERNE ETC'!F$20</f>
        <v>0</v>
      </c>
      <c r="G20" s="32">
        <f>+'[1]LIVREUR INTERNE ETC'!G$20</f>
        <v>0</v>
      </c>
      <c r="H20" s="32">
        <f>+'[1]LIVREUR INTERNE ETC'!H$20</f>
        <v>0</v>
      </c>
      <c r="I20" s="32">
        <f>+'[1]LIVREUR INTERNE ETC'!I$20</f>
        <v>0</v>
      </c>
      <c r="J20" s="32">
        <f>+'[1]LIVREUR INTERNE ETC'!J$20</f>
        <v>0</v>
      </c>
      <c r="K20" s="32">
        <f>+'[1]LIVREUR INTERNE ETC'!K$20</f>
        <v>0</v>
      </c>
      <c r="L20" s="32">
        <f>+'[1]LIVREUR INTERNE ETC'!L$20</f>
        <v>0</v>
      </c>
      <c r="M20" s="32">
        <f>+'[1]LIVREUR INTERNE ETC'!M$20</f>
        <v>9600</v>
      </c>
      <c r="N20" s="32">
        <f>+'[1]LIVREUR INTERNE ETC'!Q$20</f>
        <v>0</v>
      </c>
      <c r="O20" s="35">
        <f t="shared" si="0"/>
        <v>9600</v>
      </c>
    </row>
    <row r="21" spans="1:15">
      <c r="A21" s="5">
        <v>46219</v>
      </c>
      <c r="B21" s="32">
        <f>+'[2]LIVREUR INTERNE ETC'!B$20</f>
        <v>120</v>
      </c>
      <c r="C21" s="32">
        <f>+'[2]LIVREUR INTERNE ETC'!C$20</f>
        <v>0</v>
      </c>
      <c r="D21" s="32">
        <f>+'[2]LIVREUR INTERNE ETC'!D$20</f>
        <v>0</v>
      </c>
      <c r="E21" s="32">
        <f>+'[2]LIVREUR INTERNE ETC'!E$20</f>
        <v>0</v>
      </c>
      <c r="F21" s="32">
        <f>+'[2]LIVREUR INTERNE ETC'!F$20</f>
        <v>0</v>
      </c>
      <c r="G21" s="32">
        <f>+'[2]LIVREUR INTERNE ETC'!G$20</f>
        <v>0</v>
      </c>
      <c r="H21" s="32">
        <f>+'[2]LIVREUR INTERNE ETC'!H$20</f>
        <v>0</v>
      </c>
      <c r="I21" s="32">
        <f>+'[2]LIVREUR INTERNE ETC'!I$20</f>
        <v>0</v>
      </c>
      <c r="J21" s="32">
        <f>+'[2]LIVREUR INTERNE ETC'!J$20</f>
        <v>0</v>
      </c>
      <c r="K21" s="32">
        <f>+'[2]LIVREUR INTERNE ETC'!K$20</f>
        <v>0</v>
      </c>
      <c r="L21" s="32">
        <f>+'[2]LIVREUR INTERNE ETC'!L$20</f>
        <v>0</v>
      </c>
      <c r="M21" s="32">
        <f>+'[2]LIVREUR INTERNE ETC'!M$20</f>
        <v>9600</v>
      </c>
      <c r="N21" s="32">
        <f>+'[2]LIVREUR INTERNE ETC'!Q$20</f>
        <v>0</v>
      </c>
      <c r="O21" s="35">
        <f t="shared" si="0"/>
        <v>19200</v>
      </c>
    </row>
    <row r="22" spans="1:15">
      <c r="A22" s="5">
        <v>46220</v>
      </c>
      <c r="B22" s="32">
        <f>+'[3]LIVREUR INTERNE ETC'!B$20</f>
        <v>120</v>
      </c>
      <c r="C22" s="32">
        <f>+'[3]LIVREUR INTERNE ETC'!C$20</f>
        <v>0</v>
      </c>
      <c r="D22" s="32">
        <f>+'[3]LIVREUR INTERNE ETC'!D$20</f>
        <v>0</v>
      </c>
      <c r="E22" s="32">
        <f>+'[3]LIVREUR INTERNE ETC'!E$20</f>
        <v>0</v>
      </c>
      <c r="F22" s="32">
        <f>+'[3]LIVREUR INTERNE ETC'!F$20</f>
        <v>0</v>
      </c>
      <c r="G22" s="32">
        <f>+'[3]LIVREUR INTERNE ETC'!G$20</f>
        <v>0</v>
      </c>
      <c r="H22" s="32">
        <f>+'[3]LIVREUR INTERNE ETC'!H$20</f>
        <v>0</v>
      </c>
      <c r="I22" s="32">
        <f>+'[3]LIVREUR INTERNE ETC'!I$20</f>
        <v>0</v>
      </c>
      <c r="J22" s="32">
        <f>+'[3]LIVREUR INTERNE ETC'!J$20</f>
        <v>0</v>
      </c>
      <c r="K22" s="32">
        <f>+'[3]LIVREUR INTERNE ETC'!K$20</f>
        <v>0</v>
      </c>
      <c r="L22" s="32">
        <f>+'[3]LIVREUR INTERNE ETC'!L$20</f>
        <v>0</v>
      </c>
      <c r="M22" s="32">
        <f>+'[3]LIVREUR INTERNE ETC'!M$20</f>
        <v>9600</v>
      </c>
      <c r="N22" s="32">
        <f>+'[3]LIVREUR INTERNE ETC'!Q$20</f>
        <v>0</v>
      </c>
      <c r="O22" s="35">
        <f t="shared" si="0"/>
        <v>28800</v>
      </c>
    </row>
    <row r="23" spans="1:15">
      <c r="A23" s="5">
        <v>46221</v>
      </c>
      <c r="B23" s="32">
        <f>+'[4]LIVREUR INTERNE ETC'!B$20</f>
        <v>120</v>
      </c>
      <c r="C23" s="32">
        <f>+'[4]LIVREUR INTERNE ETC'!C$20</f>
        <v>0</v>
      </c>
      <c r="D23" s="32">
        <f>+'[4]LIVREUR INTERNE ETC'!D$20</f>
        <v>0</v>
      </c>
      <c r="E23" s="32">
        <f>+'[4]LIVREUR INTERNE ETC'!E$20</f>
        <v>0</v>
      </c>
      <c r="F23" s="32">
        <f>+'[4]LIVREUR INTERNE ETC'!F$20</f>
        <v>0</v>
      </c>
      <c r="G23" s="32">
        <f>+'[4]LIVREUR INTERNE ETC'!G$20</f>
        <v>0</v>
      </c>
      <c r="H23" s="32">
        <f>+'[4]LIVREUR INTERNE ETC'!H$20</f>
        <v>0</v>
      </c>
      <c r="I23" s="32">
        <f>+'[4]LIVREUR INTERNE ETC'!I$20</f>
        <v>0</v>
      </c>
      <c r="J23" s="32">
        <f>+'[4]LIVREUR INTERNE ETC'!J$20</f>
        <v>0</v>
      </c>
      <c r="K23" s="32">
        <f>+'[4]LIVREUR INTERNE ETC'!K$20</f>
        <v>0</v>
      </c>
      <c r="L23" s="32">
        <f>+'[4]LIVREUR INTERNE ETC'!L$20</f>
        <v>0</v>
      </c>
      <c r="M23" s="32">
        <f>+'[4]LIVREUR INTERNE ETC'!M$20</f>
        <v>9600</v>
      </c>
      <c r="N23" s="32">
        <f>+'[4]LIVREUR INTERNE ETC'!Q$20</f>
        <v>0</v>
      </c>
      <c r="O23" s="35">
        <f t="shared" si="0"/>
        <v>38400</v>
      </c>
    </row>
    <row r="24" spans="1:15">
      <c r="A24" s="5">
        <v>46222</v>
      </c>
      <c r="B24" s="32">
        <f>+'[5]LIVREUR INTERNE ETC'!B$20</f>
        <v>120</v>
      </c>
      <c r="C24" s="32">
        <f>+'[5]LIVREUR INTERNE ETC'!C$20</f>
        <v>0</v>
      </c>
      <c r="D24" s="32">
        <f>+'[5]LIVREUR INTERNE ETC'!D$20</f>
        <v>0</v>
      </c>
      <c r="E24" s="32">
        <f>+'[5]LIVREUR INTERNE ETC'!E$20</f>
        <v>0</v>
      </c>
      <c r="F24" s="32">
        <f>+'[5]LIVREUR INTERNE ETC'!F$20</f>
        <v>0</v>
      </c>
      <c r="G24" s="32">
        <f>+'[5]LIVREUR INTERNE ETC'!G$20</f>
        <v>0</v>
      </c>
      <c r="H24" s="32">
        <f>+'[5]LIVREUR INTERNE ETC'!H$20</f>
        <v>0</v>
      </c>
      <c r="I24" s="32">
        <f>+'[5]LIVREUR INTERNE ETC'!I$20</f>
        <v>0</v>
      </c>
      <c r="J24" s="32">
        <f>+'[5]LIVREUR INTERNE ETC'!J$20</f>
        <v>0</v>
      </c>
      <c r="K24" s="32">
        <f>+'[5]LIVREUR INTERNE ETC'!K$20</f>
        <v>0</v>
      </c>
      <c r="L24" s="32">
        <f>+'[5]LIVREUR INTERNE ETC'!L$20</f>
        <v>0</v>
      </c>
      <c r="M24" s="32">
        <f>+'[5]LIVREUR INTERNE ETC'!M$20</f>
        <v>9600</v>
      </c>
      <c r="N24" s="32">
        <f>+'[1]LIVREUR INTERNE ETC'!Q$20</f>
        <v>0</v>
      </c>
      <c r="O24" s="35">
        <f t="shared" si="0"/>
        <v>48000</v>
      </c>
    </row>
    <row r="25" spans="1:15">
      <c r="A25" s="5">
        <v>46223</v>
      </c>
      <c r="B25" s="32">
        <f>+'[6]LIVREUR INTERNE ETC'!B$20</f>
        <v>120</v>
      </c>
      <c r="C25" s="32">
        <f>+'[6]LIVREUR INTERNE ETC'!C$20</f>
        <v>0</v>
      </c>
      <c r="D25" s="32">
        <f>+'[6]LIVREUR INTERNE ETC'!D$20</f>
        <v>0</v>
      </c>
      <c r="E25" s="32">
        <f>+'[6]LIVREUR INTERNE ETC'!E$20</f>
        <v>0</v>
      </c>
      <c r="F25" s="32">
        <f>+'[6]LIVREUR INTERNE ETC'!F$20</f>
        <v>0</v>
      </c>
      <c r="G25" s="32">
        <f>+'[6]LIVREUR INTERNE ETC'!G$20</f>
        <v>0</v>
      </c>
      <c r="H25" s="32">
        <f>+'[6]LIVREUR INTERNE ETC'!H$20</f>
        <v>0</v>
      </c>
      <c r="I25" s="32">
        <f>+'[6]LIVREUR INTERNE ETC'!I$20</f>
        <v>0</v>
      </c>
      <c r="J25" s="32">
        <f>+'[6]LIVREUR INTERNE ETC'!J$20</f>
        <v>0</v>
      </c>
      <c r="K25" s="32">
        <f>+'[6]LIVREUR INTERNE ETC'!K$20</f>
        <v>0</v>
      </c>
      <c r="L25" s="32">
        <f>+'[6]LIVREUR INTERNE ETC'!L$20</f>
        <v>0</v>
      </c>
      <c r="M25" s="32">
        <f>+'[6]LIVREUR INTERNE ETC'!M$20</f>
        <v>9600</v>
      </c>
      <c r="N25" s="32">
        <f>+'[1]LIVREUR INTERNE ETC'!Q$20</f>
        <v>0</v>
      </c>
      <c r="O25" s="35">
        <f t="shared" si="0"/>
        <v>57600</v>
      </c>
    </row>
    <row r="26" spans="1:15">
      <c r="A26" s="5">
        <v>46224</v>
      </c>
      <c r="B26" s="32">
        <f>+'[7]LIVREUR INTERNE ETC'!B$20</f>
        <v>120</v>
      </c>
      <c r="C26" s="32">
        <f>+'[7]LIVREUR INTERNE ETC'!C$20</f>
        <v>0</v>
      </c>
      <c r="D26" s="32">
        <f>+'[7]LIVREUR INTERNE ETC'!D$20</f>
        <v>0</v>
      </c>
      <c r="E26" s="32">
        <f>+'[7]LIVREUR INTERNE ETC'!E$20</f>
        <v>0</v>
      </c>
      <c r="F26" s="32">
        <f>+'[7]LIVREUR INTERNE ETC'!F$20</f>
        <v>0</v>
      </c>
      <c r="G26" s="32">
        <f>+'[7]LIVREUR INTERNE ETC'!G$20</f>
        <v>0</v>
      </c>
      <c r="H26" s="32">
        <f>+'[7]LIVREUR INTERNE ETC'!H$20</f>
        <v>0</v>
      </c>
      <c r="I26" s="32">
        <f>+'[7]LIVREUR INTERNE ETC'!I$20</f>
        <v>0</v>
      </c>
      <c r="J26" s="32">
        <f>+'[7]LIVREUR INTERNE ETC'!J$20</f>
        <v>0</v>
      </c>
      <c r="K26" s="32">
        <f>+'[7]LIVREUR INTERNE ETC'!K$20</f>
        <v>0</v>
      </c>
      <c r="L26" s="32">
        <f>+'[7]LIVREUR INTERNE ETC'!L$20</f>
        <v>0</v>
      </c>
      <c r="M26" s="32">
        <f>+'[7]LIVREUR INTERNE ETC'!M$20</f>
        <v>9600</v>
      </c>
      <c r="N26" s="32">
        <f>+'[1]LIVREUR INTERNE ETC'!Q$20</f>
        <v>0</v>
      </c>
      <c r="O26" s="35">
        <f t="shared" si="0"/>
        <v>67200</v>
      </c>
    </row>
    <row r="27" spans="1:15">
      <c r="A27" s="5">
        <v>46225</v>
      </c>
      <c r="B27" s="32">
        <f>+'[1]LIVREUR INTERNE ETC'!B$20</f>
        <v>120</v>
      </c>
      <c r="C27" s="32">
        <f>+'[1]LIVREUR INTERNE ETC'!C$20</f>
        <v>0</v>
      </c>
      <c r="D27" s="32">
        <f>+'[1]LIVREUR INTERNE ETC'!D$20</f>
        <v>0</v>
      </c>
      <c r="E27" s="32">
        <f>+'[1]LIVREUR INTERNE ETC'!E$20</f>
        <v>0</v>
      </c>
      <c r="F27" s="32">
        <f>+'[1]LIVREUR INTERNE ETC'!F$20</f>
        <v>0</v>
      </c>
      <c r="G27" s="32">
        <f>+'[1]LIVREUR INTERNE ETC'!G$20</f>
        <v>0</v>
      </c>
      <c r="H27" s="32">
        <f>+'[1]LIVREUR INTERNE ETC'!H$20</f>
        <v>0</v>
      </c>
      <c r="I27" s="32">
        <f>+'[1]LIVREUR INTERNE ETC'!I$20</f>
        <v>0</v>
      </c>
      <c r="J27" s="32">
        <f>+'[1]LIVREUR INTERNE ETC'!J$20</f>
        <v>0</v>
      </c>
      <c r="K27" s="32">
        <f>+'[1]LIVREUR INTERNE ETC'!K$20</f>
        <v>0</v>
      </c>
      <c r="L27" s="32">
        <f>+'[1]LIVREUR INTERNE ETC'!L$20</f>
        <v>0</v>
      </c>
      <c r="M27" s="32">
        <f>+'[1]LIVREUR INTERNE ETC'!M$20</f>
        <v>9600</v>
      </c>
      <c r="N27" s="32">
        <f>+'[1]LIVREUR INTERNE ETC'!Q$20</f>
        <v>0</v>
      </c>
      <c r="O27" s="35">
        <f t="shared" si="0"/>
        <v>76800</v>
      </c>
    </row>
    <row r="28" spans="1:15">
      <c r="A28" s="5">
        <v>46226</v>
      </c>
      <c r="B28" s="32">
        <f>+'[1]LIVREUR INTERNE ETC'!B$20</f>
        <v>120</v>
      </c>
      <c r="C28" s="32">
        <f>+'[1]LIVREUR INTERNE ETC'!C$20</f>
        <v>0</v>
      </c>
      <c r="D28" s="32">
        <f>+'[1]LIVREUR INTERNE ETC'!D$20</f>
        <v>0</v>
      </c>
      <c r="E28" s="32">
        <f>+'[1]LIVREUR INTERNE ETC'!E$20</f>
        <v>0</v>
      </c>
      <c r="F28" s="32">
        <f>+'[1]LIVREUR INTERNE ETC'!F$20</f>
        <v>0</v>
      </c>
      <c r="G28" s="32">
        <f>+'[1]LIVREUR INTERNE ETC'!G$20</f>
        <v>0</v>
      </c>
      <c r="H28" s="32">
        <f>+'[1]LIVREUR INTERNE ETC'!H$20</f>
        <v>0</v>
      </c>
      <c r="I28" s="32">
        <f>+'[1]LIVREUR INTERNE ETC'!I$20</f>
        <v>0</v>
      </c>
      <c r="J28" s="32">
        <f>+'[1]LIVREUR INTERNE ETC'!J$20</f>
        <v>0</v>
      </c>
      <c r="K28" s="32">
        <f>+'[1]LIVREUR INTERNE ETC'!K$20</f>
        <v>0</v>
      </c>
      <c r="L28" s="32">
        <f>+'[1]LIVREUR INTERNE ETC'!L$20</f>
        <v>0</v>
      </c>
      <c r="M28" s="32">
        <f>+'[1]LIVREUR INTERNE ETC'!M$20</f>
        <v>9600</v>
      </c>
      <c r="N28" s="32">
        <f>+'[1]LIVREUR INTERNE ETC'!Q$20</f>
        <v>0</v>
      </c>
      <c r="O28" s="35">
        <f t="shared" si="0"/>
        <v>86400</v>
      </c>
    </row>
    <row r="29" spans="1:15">
      <c r="A29" s="5">
        <v>46227</v>
      </c>
      <c r="B29" s="32">
        <f>+'[1]LIVREUR INTERNE ETC'!B$20</f>
        <v>120</v>
      </c>
      <c r="C29" s="32">
        <f>+'[1]LIVREUR INTERNE ETC'!C$20</f>
        <v>0</v>
      </c>
      <c r="D29" s="32">
        <f>+'[1]LIVREUR INTERNE ETC'!D$20</f>
        <v>0</v>
      </c>
      <c r="E29" s="32">
        <f>+'[1]LIVREUR INTERNE ETC'!E$20</f>
        <v>0</v>
      </c>
      <c r="F29" s="32">
        <f>+'[1]LIVREUR INTERNE ETC'!F$20</f>
        <v>0</v>
      </c>
      <c r="G29" s="32">
        <f>+'[1]LIVREUR INTERNE ETC'!G$20</f>
        <v>0</v>
      </c>
      <c r="H29" s="32">
        <f>+'[1]LIVREUR INTERNE ETC'!H$20</f>
        <v>0</v>
      </c>
      <c r="I29" s="32">
        <f>+'[1]LIVREUR INTERNE ETC'!I$20</f>
        <v>0</v>
      </c>
      <c r="J29" s="32">
        <f>+'[1]LIVREUR INTERNE ETC'!J$20</f>
        <v>0</v>
      </c>
      <c r="K29" s="32">
        <f>+'[1]LIVREUR INTERNE ETC'!K$20</f>
        <v>0</v>
      </c>
      <c r="L29" s="32">
        <f>+'[1]LIVREUR INTERNE ETC'!L$20</f>
        <v>0</v>
      </c>
      <c r="M29" s="32">
        <f>+'[1]LIVREUR INTERNE ETC'!M$20</f>
        <v>9600</v>
      </c>
      <c r="N29" s="32">
        <f>+'[1]LIVREUR INTERNE ETC'!Q$20</f>
        <v>0</v>
      </c>
      <c r="O29" s="35">
        <f t="shared" si="0"/>
        <v>96000</v>
      </c>
    </row>
    <row r="30" spans="1:15">
      <c r="A30" s="5">
        <v>46228</v>
      </c>
      <c r="B30" s="32">
        <f>+'[1]LIVREUR INTERNE ETC'!B$20</f>
        <v>120</v>
      </c>
      <c r="C30" s="32">
        <f>+'[1]LIVREUR INTERNE ETC'!C$20</f>
        <v>0</v>
      </c>
      <c r="D30" s="32">
        <f>+'[1]LIVREUR INTERNE ETC'!D$20</f>
        <v>0</v>
      </c>
      <c r="E30" s="32">
        <f>+'[1]LIVREUR INTERNE ETC'!E$20</f>
        <v>0</v>
      </c>
      <c r="F30" s="32">
        <f>+'[1]LIVREUR INTERNE ETC'!F$20</f>
        <v>0</v>
      </c>
      <c r="G30" s="32">
        <f>+'[1]LIVREUR INTERNE ETC'!G$20</f>
        <v>0</v>
      </c>
      <c r="H30" s="32">
        <f>+'[1]LIVREUR INTERNE ETC'!H$20</f>
        <v>0</v>
      </c>
      <c r="I30" s="32">
        <f>+'[1]LIVREUR INTERNE ETC'!I$20</f>
        <v>0</v>
      </c>
      <c r="J30" s="32">
        <f>+'[1]LIVREUR INTERNE ETC'!J$20</f>
        <v>0</v>
      </c>
      <c r="K30" s="32">
        <f>+'[1]LIVREUR INTERNE ETC'!K$20</f>
        <v>0</v>
      </c>
      <c r="L30" s="32">
        <f>+'[1]LIVREUR INTERNE ETC'!L$20</f>
        <v>0</v>
      </c>
      <c r="M30" s="32">
        <f>+'[1]LIVREUR INTERNE ETC'!M$20</f>
        <v>9600</v>
      </c>
      <c r="N30" s="32">
        <f>+'[1]LIVREUR INTERNE ETC'!Q$20</f>
        <v>0</v>
      </c>
      <c r="O30" s="35">
        <f t="shared" si="0"/>
        <v>105600</v>
      </c>
    </row>
    <row r="31" spans="1:15">
      <c r="A31" s="5">
        <v>46229</v>
      </c>
      <c r="B31" s="32">
        <f>+'[1]LIVREUR INTERNE ETC'!B$20</f>
        <v>120</v>
      </c>
      <c r="C31" s="32">
        <f>+'[1]LIVREUR INTERNE ETC'!C$20</f>
        <v>0</v>
      </c>
      <c r="D31" s="32">
        <f>+'[1]LIVREUR INTERNE ETC'!D$20</f>
        <v>0</v>
      </c>
      <c r="E31" s="32">
        <f>+'[1]LIVREUR INTERNE ETC'!E$20</f>
        <v>0</v>
      </c>
      <c r="F31" s="32">
        <f>+'[1]LIVREUR INTERNE ETC'!F$20</f>
        <v>0</v>
      </c>
      <c r="G31" s="32">
        <f>+'[1]LIVREUR INTERNE ETC'!G$20</f>
        <v>0</v>
      </c>
      <c r="H31" s="32">
        <f>+'[1]LIVREUR INTERNE ETC'!H$20</f>
        <v>0</v>
      </c>
      <c r="I31" s="32">
        <f>+'[1]LIVREUR INTERNE ETC'!I$20</f>
        <v>0</v>
      </c>
      <c r="J31" s="32">
        <f>+'[1]LIVREUR INTERNE ETC'!J$20</f>
        <v>0</v>
      </c>
      <c r="K31" s="32">
        <f>+'[1]LIVREUR INTERNE ETC'!K$20</f>
        <v>0</v>
      </c>
      <c r="L31" s="32">
        <f>+'[1]LIVREUR INTERNE ETC'!L$20</f>
        <v>0</v>
      </c>
      <c r="M31" s="32">
        <f>+'[1]LIVREUR INTERNE ETC'!M$20</f>
        <v>9600</v>
      </c>
      <c r="N31" s="32">
        <f>+'[1]LIVREUR INTERNE ETC'!Q$20</f>
        <v>0</v>
      </c>
      <c r="O31" s="35">
        <f t="shared" si="0"/>
        <v>115200</v>
      </c>
    </row>
    <row r="32" spans="1:15">
      <c r="A32" s="5">
        <v>46230</v>
      </c>
      <c r="B32" s="32">
        <f>+'[1]LIVREUR INTERNE ETC'!B$20</f>
        <v>120</v>
      </c>
      <c r="C32" s="32">
        <f>+'[1]LIVREUR INTERNE ETC'!C$20</f>
        <v>0</v>
      </c>
      <c r="D32" s="32">
        <f>+'[1]LIVREUR INTERNE ETC'!D$20</f>
        <v>0</v>
      </c>
      <c r="E32" s="32">
        <f>+'[1]LIVREUR INTERNE ETC'!E$20</f>
        <v>0</v>
      </c>
      <c r="F32" s="32">
        <f>+'[1]LIVREUR INTERNE ETC'!F$20</f>
        <v>0</v>
      </c>
      <c r="G32" s="32">
        <f>+'[1]LIVREUR INTERNE ETC'!G$20</f>
        <v>0</v>
      </c>
      <c r="H32" s="32">
        <f>+'[1]LIVREUR INTERNE ETC'!H$20</f>
        <v>0</v>
      </c>
      <c r="I32" s="32">
        <f>+'[1]LIVREUR INTERNE ETC'!I$20</f>
        <v>0</v>
      </c>
      <c r="J32" s="32">
        <f>+'[1]LIVREUR INTERNE ETC'!J$20</f>
        <v>0</v>
      </c>
      <c r="K32" s="32">
        <f>+'[1]LIVREUR INTERNE ETC'!K$20</f>
        <v>0</v>
      </c>
      <c r="L32" s="32">
        <f>+'[1]LIVREUR INTERNE ETC'!L$20</f>
        <v>0</v>
      </c>
      <c r="M32" s="32">
        <f>+'[1]LIVREUR INTERNE ETC'!M$20</f>
        <v>9600</v>
      </c>
      <c r="N32" s="32">
        <f>+'[1]LIVREUR INTERNE ETC'!Q$20</f>
        <v>0</v>
      </c>
      <c r="O32" s="35">
        <f t="shared" si="0"/>
        <v>124800</v>
      </c>
    </row>
    <row r="33" spans="1:15">
      <c r="A33" s="5">
        <v>46231</v>
      </c>
      <c r="B33" s="32">
        <f>+'[1]LIVREUR INTERNE ETC'!B$20</f>
        <v>120</v>
      </c>
      <c r="C33" s="32">
        <f>+'[1]LIVREUR INTERNE ETC'!C$20</f>
        <v>0</v>
      </c>
      <c r="D33" s="32">
        <f>+'[1]LIVREUR INTERNE ETC'!D$20</f>
        <v>0</v>
      </c>
      <c r="E33" s="32">
        <f>+'[1]LIVREUR INTERNE ETC'!E$20</f>
        <v>0</v>
      </c>
      <c r="F33" s="32">
        <f>+'[1]LIVREUR INTERNE ETC'!F$20</f>
        <v>0</v>
      </c>
      <c r="G33" s="32">
        <f>+'[1]LIVREUR INTERNE ETC'!G$20</f>
        <v>0</v>
      </c>
      <c r="H33" s="32">
        <f>+'[1]LIVREUR INTERNE ETC'!H$20</f>
        <v>0</v>
      </c>
      <c r="I33" s="32">
        <f>+'[1]LIVREUR INTERNE ETC'!I$20</f>
        <v>0</v>
      </c>
      <c r="J33" s="32">
        <f>+'[1]LIVREUR INTERNE ETC'!J$20</f>
        <v>0</v>
      </c>
      <c r="K33" s="32">
        <f>+'[1]LIVREUR INTERNE ETC'!K$20</f>
        <v>0</v>
      </c>
      <c r="L33" s="32">
        <f>+'[1]LIVREUR INTERNE ETC'!L$20</f>
        <v>0</v>
      </c>
      <c r="M33" s="32">
        <f>+'[1]LIVREUR INTERNE ETC'!M$20</f>
        <v>9600</v>
      </c>
      <c r="N33" s="32">
        <f>+'[1]LIVREUR INTERNE ETC'!Q$20</f>
        <v>0</v>
      </c>
      <c r="O33" s="35">
        <f t="shared" si="0"/>
        <v>134400</v>
      </c>
    </row>
    <row r="34" spans="1:15">
      <c r="A34" s="5">
        <v>46232</v>
      </c>
      <c r="B34" s="32">
        <f>+'[1]LIVREUR INTERNE ETC'!B$20</f>
        <v>120</v>
      </c>
      <c r="C34" s="32">
        <f>+'[1]LIVREUR INTERNE ETC'!C$20</f>
        <v>0</v>
      </c>
      <c r="D34" s="32">
        <f>+'[1]LIVREUR INTERNE ETC'!D$20</f>
        <v>0</v>
      </c>
      <c r="E34" s="32">
        <f>+'[1]LIVREUR INTERNE ETC'!E$20</f>
        <v>0</v>
      </c>
      <c r="F34" s="32">
        <f>+'[1]LIVREUR INTERNE ETC'!F$20</f>
        <v>0</v>
      </c>
      <c r="G34" s="32">
        <f>+'[1]LIVREUR INTERNE ETC'!G$20</f>
        <v>0</v>
      </c>
      <c r="H34" s="32">
        <f>+'[1]LIVREUR INTERNE ETC'!H$20</f>
        <v>0</v>
      </c>
      <c r="I34" s="32">
        <f>+'[1]LIVREUR INTERNE ETC'!I$20</f>
        <v>0</v>
      </c>
      <c r="J34" s="32">
        <f>+'[1]LIVREUR INTERNE ETC'!J$20</f>
        <v>0</v>
      </c>
      <c r="K34" s="32">
        <f>+'[1]LIVREUR INTERNE ETC'!K$20</f>
        <v>0</v>
      </c>
      <c r="L34" s="32">
        <f>+'[1]LIVREUR INTERNE ETC'!L$20</f>
        <v>0</v>
      </c>
      <c r="M34" s="32">
        <f>+'[1]LIVREUR INTERNE ETC'!M$20</f>
        <v>9600</v>
      </c>
      <c r="N34" s="32">
        <f>+'[1]LIVREUR INTERNE ETC'!Q$20</f>
        <v>0</v>
      </c>
      <c r="O34" s="35">
        <f t="shared" si="0"/>
        <v>144000</v>
      </c>
    </row>
    <row r="35" spans="1:15">
      <c r="A35" s="5">
        <v>46233</v>
      </c>
      <c r="B35" s="32">
        <f>+'[1]LIVREUR INTERNE ETC'!B$20</f>
        <v>120</v>
      </c>
      <c r="C35" s="32">
        <f>+'[1]LIVREUR INTERNE ETC'!C$20</f>
        <v>0</v>
      </c>
      <c r="D35" s="32">
        <f>+'[1]LIVREUR INTERNE ETC'!D$20</f>
        <v>0</v>
      </c>
      <c r="E35" s="32">
        <f>+'[1]LIVREUR INTERNE ETC'!E$20</f>
        <v>0</v>
      </c>
      <c r="F35" s="32">
        <f>+'[1]LIVREUR INTERNE ETC'!F$20</f>
        <v>0</v>
      </c>
      <c r="G35" s="32">
        <f>+'[1]LIVREUR INTERNE ETC'!G$20</f>
        <v>0</v>
      </c>
      <c r="H35" s="32">
        <f>+'[1]LIVREUR INTERNE ETC'!H$20</f>
        <v>0</v>
      </c>
      <c r="I35" s="32">
        <f>+'[1]LIVREUR INTERNE ETC'!I$20</f>
        <v>0</v>
      </c>
      <c r="J35" s="32">
        <f>+'[1]LIVREUR INTERNE ETC'!J$20</f>
        <v>0</v>
      </c>
      <c r="K35" s="32">
        <f>+'[1]LIVREUR INTERNE ETC'!K$20</f>
        <v>0</v>
      </c>
      <c r="L35" s="32">
        <f>+'[1]LIVREUR INTERNE ETC'!L$20</f>
        <v>0</v>
      </c>
      <c r="M35" s="32">
        <f>+'[1]LIVREUR INTERNE ETC'!M$20</f>
        <v>9600</v>
      </c>
      <c r="N35" s="32">
        <f>+'[1]LIVREUR INTERNE ETC'!Q$20</f>
        <v>0</v>
      </c>
      <c r="O35" s="35">
        <f t="shared" si="0"/>
        <v>153600</v>
      </c>
    </row>
    <row r="36" spans="1:15">
      <c r="A36" s="5">
        <v>46234</v>
      </c>
      <c r="B36" s="32">
        <f>+'[1]LIVREUR INTERNE ETC'!B$20</f>
        <v>120</v>
      </c>
      <c r="C36" s="32">
        <f>+'[1]LIVREUR INTERNE ETC'!C$20</f>
        <v>0</v>
      </c>
      <c r="D36" s="32">
        <f>+'[1]LIVREUR INTERNE ETC'!D$20</f>
        <v>0</v>
      </c>
      <c r="E36" s="32">
        <f>+'[1]LIVREUR INTERNE ETC'!E$20</f>
        <v>0</v>
      </c>
      <c r="F36" s="32">
        <f>+'[1]LIVREUR INTERNE ETC'!F$20</f>
        <v>0</v>
      </c>
      <c r="G36" s="32">
        <f>+'[1]LIVREUR INTERNE ETC'!G$20</f>
        <v>0</v>
      </c>
      <c r="H36" s="32">
        <f>+'[1]LIVREUR INTERNE ETC'!H$20</f>
        <v>0</v>
      </c>
      <c r="I36" s="32">
        <f>+'[1]LIVREUR INTERNE ETC'!I$20</f>
        <v>0</v>
      </c>
      <c r="J36" s="32">
        <f>+'[1]LIVREUR INTERNE ETC'!J$20</f>
        <v>0</v>
      </c>
      <c r="K36" s="32">
        <f>+'[1]LIVREUR INTERNE ETC'!K$20</f>
        <v>0</v>
      </c>
      <c r="L36" s="32">
        <f>+'[1]LIVREUR INTERNE ETC'!L$20</f>
        <v>0</v>
      </c>
      <c r="M36" s="32">
        <f>+'[1]LIVREUR INTERNE ETC'!M$20</f>
        <v>9600</v>
      </c>
      <c r="N36" s="32">
        <f>+'[1]LIVREUR INTERNE ETC'!Q$20</f>
        <v>0</v>
      </c>
      <c r="O36" s="35">
        <f t="shared" si="0"/>
        <v>163200</v>
      </c>
    </row>
    <row r="37" spans="1:15">
      <c r="A37" s="32" t="s">
        <v>10</v>
      </c>
      <c r="B37" s="35">
        <f>+SUM(B5:B36)</f>
        <v>2040</v>
      </c>
      <c r="C37" s="35">
        <f t="shared" ref="C37:N37" si="1">+SUM(C5:C36)</f>
        <v>0</v>
      </c>
      <c r="D37" s="35">
        <f t="shared" si="1"/>
        <v>0</v>
      </c>
      <c r="E37" s="35">
        <f t="shared" si="1"/>
        <v>0</v>
      </c>
      <c r="F37" s="35">
        <f t="shared" si="1"/>
        <v>0</v>
      </c>
      <c r="G37" s="35">
        <f t="shared" si="1"/>
        <v>0</v>
      </c>
      <c r="H37" s="35">
        <f t="shared" si="1"/>
        <v>0</v>
      </c>
      <c r="I37" s="35">
        <f t="shared" si="1"/>
        <v>0</v>
      </c>
      <c r="J37" s="35">
        <f t="shared" si="1"/>
        <v>0</v>
      </c>
      <c r="K37" s="35">
        <f t="shared" si="1"/>
        <v>0</v>
      </c>
      <c r="L37" s="35">
        <f>+SUM(L5:L36)</f>
        <v>0</v>
      </c>
      <c r="M37" s="35">
        <f t="shared" si="1"/>
        <v>163200</v>
      </c>
      <c r="N37" s="35">
        <f t="shared" si="1"/>
        <v>0</v>
      </c>
      <c r="O37" s="35">
        <f>+M37-N37</f>
        <v>163200</v>
      </c>
    </row>
  </sheetData>
  <mergeCells count="11">
    <mergeCell ref="A1:J1"/>
    <mergeCell ref="O2:O4"/>
    <mergeCell ref="B3:C3"/>
    <mergeCell ref="F3:G3"/>
    <mergeCell ref="A2:A4"/>
    <mergeCell ref="B2:E2"/>
    <mergeCell ref="F2:J2"/>
    <mergeCell ref="K2:K3"/>
    <mergeCell ref="L2:L3"/>
    <mergeCell ref="M2:M4"/>
    <mergeCell ref="N2:N4"/>
  </mergeCells>
  <pageMargins left="0" right="0" top="0" bottom="0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N12" sqref="N12"/>
    </sheetView>
  </sheetViews>
  <sheetFormatPr baseColWidth="10" defaultRowHeight="14.25"/>
  <cols>
    <col min="2" max="2" width="5.875" bestFit="1" customWidth="1"/>
    <col min="3" max="9" width="5.125" bestFit="1" customWidth="1"/>
    <col min="10" max="10" width="5.125" style="23" bestFit="1" customWidth="1"/>
    <col min="11" max="11" width="5.125" bestFit="1" customWidth="1"/>
    <col min="12" max="12" width="4.75" style="17" customWidth="1"/>
    <col min="13" max="13" width="8.25" bestFit="1" customWidth="1"/>
    <col min="14" max="14" width="11" style="23"/>
  </cols>
  <sheetData>
    <row r="1" spans="1:15" s="11" customFormat="1" ht="15">
      <c r="A1" s="46" t="s">
        <v>11</v>
      </c>
      <c r="B1" s="46"/>
      <c r="C1" s="46"/>
      <c r="D1" s="46"/>
      <c r="E1" s="46"/>
      <c r="F1" s="46"/>
      <c r="G1" s="46"/>
      <c r="H1" s="46"/>
      <c r="I1" s="46"/>
      <c r="J1" s="46"/>
      <c r="K1" s="26"/>
      <c r="L1" s="27"/>
      <c r="M1" s="28" t="s">
        <v>27</v>
      </c>
      <c r="N1" s="29"/>
      <c r="O1" s="30">
        <v>46204</v>
      </c>
    </row>
    <row r="2" spans="1:15" s="37" customFormat="1" ht="15">
      <c r="A2" s="47" t="s">
        <v>24</v>
      </c>
      <c r="B2" s="45" t="s">
        <v>1</v>
      </c>
      <c r="C2" s="45"/>
      <c r="D2" s="45"/>
      <c r="E2" s="45"/>
      <c r="F2" s="45" t="s">
        <v>2</v>
      </c>
      <c r="G2" s="45"/>
      <c r="H2" s="45"/>
      <c r="I2" s="45"/>
      <c r="J2" s="45"/>
      <c r="K2" s="45" t="s">
        <v>3</v>
      </c>
      <c r="L2" s="45" t="s">
        <v>19</v>
      </c>
      <c r="M2" s="42" t="s">
        <v>5</v>
      </c>
      <c r="N2" s="42" t="s">
        <v>7</v>
      </c>
      <c r="O2" s="42" t="s">
        <v>25</v>
      </c>
    </row>
    <row r="3" spans="1:15" s="37" customFormat="1" ht="36">
      <c r="A3" s="47"/>
      <c r="B3" s="45" t="s">
        <v>20</v>
      </c>
      <c r="C3" s="45"/>
      <c r="D3" s="40" t="s">
        <v>21</v>
      </c>
      <c r="E3" s="39" t="s">
        <v>22</v>
      </c>
      <c r="F3" s="45" t="s">
        <v>20</v>
      </c>
      <c r="G3" s="45"/>
      <c r="H3" s="39" t="s">
        <v>21</v>
      </c>
      <c r="I3" s="39" t="s">
        <v>23</v>
      </c>
      <c r="J3" s="39" t="s">
        <v>6</v>
      </c>
      <c r="K3" s="45"/>
      <c r="L3" s="45"/>
      <c r="M3" s="42"/>
      <c r="N3" s="42"/>
      <c r="O3" s="42"/>
    </row>
    <row r="4" spans="1:15" s="37" customFormat="1" ht="15">
      <c r="A4" s="47"/>
      <c r="B4" s="36">
        <v>80</v>
      </c>
      <c r="C4" s="36">
        <v>115</v>
      </c>
      <c r="D4" s="36">
        <v>40</v>
      </c>
      <c r="E4" s="36">
        <v>40</v>
      </c>
      <c r="F4" s="36">
        <v>80</v>
      </c>
      <c r="G4" s="36">
        <v>115</v>
      </c>
      <c r="H4" s="36">
        <v>40</v>
      </c>
      <c r="I4" s="36">
        <v>40</v>
      </c>
      <c r="J4" s="36"/>
      <c r="K4" s="36">
        <v>80</v>
      </c>
      <c r="L4" s="39">
        <v>500</v>
      </c>
      <c r="M4" s="42"/>
      <c r="N4" s="42"/>
      <c r="O4" s="42"/>
    </row>
    <row r="5" spans="1:15">
      <c r="A5" s="31" t="s">
        <v>9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38">
        <v>0</v>
      </c>
    </row>
    <row r="6" spans="1:15">
      <c r="A6" s="5">
        <v>46204</v>
      </c>
      <c r="B6" s="32"/>
      <c r="C6" s="32"/>
      <c r="D6" s="32"/>
      <c r="E6" s="32"/>
      <c r="F6" s="32"/>
      <c r="G6" s="32"/>
      <c r="H6" s="32"/>
      <c r="I6" s="32"/>
      <c r="J6" s="33"/>
      <c r="K6" s="32"/>
      <c r="L6" s="34"/>
      <c r="M6" s="32"/>
      <c r="N6" s="33"/>
      <c r="O6" s="35">
        <f>-N6+M6+O5</f>
        <v>0</v>
      </c>
    </row>
    <row r="7" spans="1:15">
      <c r="A7" s="5">
        <v>46205</v>
      </c>
      <c r="B7" s="32"/>
      <c r="C7" s="32"/>
      <c r="D7" s="32"/>
      <c r="E7" s="32"/>
      <c r="F7" s="32"/>
      <c r="G7" s="32"/>
      <c r="H7" s="32"/>
      <c r="I7" s="32"/>
      <c r="J7" s="33"/>
      <c r="K7" s="32"/>
      <c r="L7" s="34"/>
      <c r="M7" s="32"/>
      <c r="N7" s="33"/>
      <c r="O7" s="35">
        <f t="shared" ref="O7:O36" si="0">-N7+M7+O6</f>
        <v>0</v>
      </c>
    </row>
    <row r="8" spans="1:15">
      <c r="A8" s="5">
        <v>46206</v>
      </c>
      <c r="B8" s="32"/>
      <c r="C8" s="32"/>
      <c r="D8" s="32"/>
      <c r="E8" s="32"/>
      <c r="F8" s="32"/>
      <c r="G8" s="32"/>
      <c r="H8" s="32"/>
      <c r="I8" s="32"/>
      <c r="J8" s="33"/>
      <c r="K8" s="32"/>
      <c r="L8" s="34"/>
      <c r="M8" s="32"/>
      <c r="N8" s="33"/>
      <c r="O8" s="35">
        <f t="shared" si="0"/>
        <v>0</v>
      </c>
    </row>
    <row r="9" spans="1:15">
      <c r="A9" s="5">
        <v>46207</v>
      </c>
      <c r="B9" s="32"/>
      <c r="C9" s="32"/>
      <c r="D9" s="32"/>
      <c r="E9" s="32"/>
      <c r="F9" s="32"/>
      <c r="G9" s="32"/>
      <c r="H9" s="32"/>
      <c r="I9" s="32"/>
      <c r="J9" s="33"/>
      <c r="K9" s="32"/>
      <c r="L9" s="34"/>
      <c r="M9" s="32"/>
      <c r="N9" s="33"/>
      <c r="O9" s="35">
        <f t="shared" si="0"/>
        <v>0</v>
      </c>
    </row>
    <row r="10" spans="1:15">
      <c r="A10" s="5">
        <v>46208</v>
      </c>
      <c r="B10" s="32"/>
      <c r="C10" s="32"/>
      <c r="D10" s="32"/>
      <c r="E10" s="32"/>
      <c r="F10" s="32"/>
      <c r="G10" s="32"/>
      <c r="H10" s="32"/>
      <c r="I10" s="32"/>
      <c r="J10" s="33"/>
      <c r="K10" s="32"/>
      <c r="L10" s="34"/>
      <c r="M10" s="32"/>
      <c r="N10" s="33"/>
      <c r="O10" s="35">
        <f t="shared" si="0"/>
        <v>0</v>
      </c>
    </row>
    <row r="11" spans="1:15">
      <c r="A11" s="5">
        <v>46209</v>
      </c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4"/>
      <c r="M11" s="32"/>
      <c r="N11" s="33"/>
      <c r="O11" s="35">
        <f t="shared" si="0"/>
        <v>0</v>
      </c>
    </row>
    <row r="12" spans="1:15">
      <c r="A12" s="5">
        <v>46210</v>
      </c>
      <c r="B12" s="32"/>
      <c r="C12" s="32"/>
      <c r="D12" s="32"/>
      <c r="E12" s="32"/>
      <c r="F12" s="32"/>
      <c r="G12" s="32"/>
      <c r="H12" s="32"/>
      <c r="I12" s="32"/>
      <c r="J12" s="33"/>
      <c r="K12" s="32"/>
      <c r="L12" s="34"/>
      <c r="M12" s="32"/>
      <c r="N12" s="33"/>
      <c r="O12" s="35">
        <f t="shared" si="0"/>
        <v>0</v>
      </c>
    </row>
    <row r="13" spans="1:15">
      <c r="A13" s="5">
        <v>46211</v>
      </c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4"/>
      <c r="M13" s="32"/>
      <c r="N13" s="33"/>
      <c r="O13" s="35">
        <f t="shared" si="0"/>
        <v>0</v>
      </c>
    </row>
    <row r="14" spans="1:15">
      <c r="A14" s="5">
        <v>46212</v>
      </c>
      <c r="B14" s="32"/>
      <c r="C14" s="32"/>
      <c r="D14" s="32"/>
      <c r="E14" s="32"/>
      <c r="F14" s="32"/>
      <c r="G14" s="32"/>
      <c r="H14" s="32"/>
      <c r="I14" s="32"/>
      <c r="J14" s="33"/>
      <c r="K14" s="32"/>
      <c r="L14" s="34"/>
      <c r="M14" s="32"/>
      <c r="N14" s="33"/>
      <c r="O14" s="35">
        <f t="shared" si="0"/>
        <v>0</v>
      </c>
    </row>
    <row r="15" spans="1:15">
      <c r="A15" s="5">
        <v>46213</v>
      </c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4"/>
      <c r="M15" s="32"/>
      <c r="N15" s="33"/>
      <c r="O15" s="35">
        <f t="shared" si="0"/>
        <v>0</v>
      </c>
    </row>
    <row r="16" spans="1:15">
      <c r="A16" s="5">
        <v>46214</v>
      </c>
      <c r="B16" s="32"/>
      <c r="C16" s="32"/>
      <c r="D16" s="32"/>
      <c r="E16" s="32"/>
      <c r="F16" s="32"/>
      <c r="G16" s="32"/>
      <c r="H16" s="32"/>
      <c r="I16" s="32"/>
      <c r="J16" s="33"/>
      <c r="K16" s="32"/>
      <c r="L16" s="34"/>
      <c r="M16" s="32"/>
      <c r="N16" s="33"/>
      <c r="O16" s="35">
        <f t="shared" si="0"/>
        <v>0</v>
      </c>
    </row>
    <row r="17" spans="1:15">
      <c r="A17" s="5">
        <v>46215</v>
      </c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4"/>
      <c r="M17" s="32"/>
      <c r="N17" s="33"/>
      <c r="O17" s="35">
        <f t="shared" si="0"/>
        <v>0</v>
      </c>
    </row>
    <row r="18" spans="1:15">
      <c r="A18" s="5">
        <v>46216</v>
      </c>
      <c r="B18" s="32"/>
      <c r="C18" s="32"/>
      <c r="D18" s="32"/>
      <c r="E18" s="32"/>
      <c r="F18" s="32"/>
      <c r="G18" s="32"/>
      <c r="H18" s="32"/>
      <c r="I18" s="32"/>
      <c r="J18" s="33"/>
      <c r="K18" s="32"/>
      <c r="L18" s="34"/>
      <c r="M18" s="32"/>
      <c r="N18" s="33"/>
      <c r="O18" s="35">
        <f t="shared" si="0"/>
        <v>0</v>
      </c>
    </row>
    <row r="19" spans="1:15">
      <c r="A19" s="5">
        <v>46217</v>
      </c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4"/>
      <c r="M19" s="32"/>
      <c r="N19" s="33"/>
      <c r="O19" s="35">
        <f t="shared" si="0"/>
        <v>0</v>
      </c>
    </row>
    <row r="20" spans="1:15">
      <c r="A20" s="5">
        <v>46218</v>
      </c>
      <c r="B20" s="32">
        <f>+'[1]LIVREUR INTERNE ETC'!B$20</f>
        <v>120</v>
      </c>
      <c r="C20" s="32">
        <f>+'[1]LIVREUR INTERNE ETC'!C$20</f>
        <v>0</v>
      </c>
      <c r="D20" s="32">
        <f>+'[1]LIVREUR INTERNE ETC'!D$20</f>
        <v>0</v>
      </c>
      <c r="E20" s="32">
        <f>+'[1]LIVREUR INTERNE ETC'!E$20</f>
        <v>0</v>
      </c>
      <c r="F20" s="32">
        <f>+'[1]LIVREUR INTERNE ETC'!F$20</f>
        <v>0</v>
      </c>
      <c r="G20" s="32">
        <f>+'[1]LIVREUR INTERNE ETC'!G$20</f>
        <v>0</v>
      </c>
      <c r="H20" s="32">
        <f>+'[1]LIVREUR INTERNE ETC'!H$20</f>
        <v>0</v>
      </c>
      <c r="I20" s="32">
        <f>+'[1]LIVREUR INTERNE ETC'!I$20</f>
        <v>0</v>
      </c>
      <c r="J20" s="32">
        <f>+'[1]LIVREUR INTERNE ETC'!J$20</f>
        <v>0</v>
      </c>
      <c r="K20" s="32">
        <f>+'[1]LIVREUR INTERNE ETC'!K$20</f>
        <v>0</v>
      </c>
      <c r="L20" s="32">
        <f>+'[1]LIVREUR INTERNE ETC'!L$20</f>
        <v>0</v>
      </c>
      <c r="M20" s="32">
        <f>+'[1]LIVREUR INTERNE ETC'!M$20</f>
        <v>9600</v>
      </c>
      <c r="N20" s="32">
        <f>+'[1]LIVREUR INTERNE ETC'!Q$20</f>
        <v>0</v>
      </c>
      <c r="O20" s="35">
        <f t="shared" si="0"/>
        <v>9600</v>
      </c>
    </row>
    <row r="21" spans="1:15">
      <c r="A21" s="5">
        <v>46219</v>
      </c>
      <c r="B21" s="32">
        <f>+'[2]LIVREUR INTERNE ETC'!B$20</f>
        <v>120</v>
      </c>
      <c r="C21" s="32">
        <f>+'[2]LIVREUR INTERNE ETC'!C$20</f>
        <v>0</v>
      </c>
      <c r="D21" s="32">
        <f>+'[2]LIVREUR INTERNE ETC'!D$20</f>
        <v>0</v>
      </c>
      <c r="E21" s="32">
        <f>+'[2]LIVREUR INTERNE ETC'!E$20</f>
        <v>0</v>
      </c>
      <c r="F21" s="32">
        <f>+'[2]LIVREUR INTERNE ETC'!F$20</f>
        <v>0</v>
      </c>
      <c r="G21" s="32">
        <f>+'[2]LIVREUR INTERNE ETC'!G$20</f>
        <v>0</v>
      </c>
      <c r="H21" s="32">
        <f>+'[2]LIVREUR INTERNE ETC'!H$20</f>
        <v>0</v>
      </c>
      <c r="I21" s="32">
        <f>+'[2]LIVREUR INTERNE ETC'!I$20</f>
        <v>0</v>
      </c>
      <c r="J21" s="32">
        <f>+'[2]LIVREUR INTERNE ETC'!J$20</f>
        <v>0</v>
      </c>
      <c r="K21" s="32">
        <f>+'[2]LIVREUR INTERNE ETC'!K$20</f>
        <v>0</v>
      </c>
      <c r="L21" s="32">
        <f>+'[2]LIVREUR INTERNE ETC'!L$20</f>
        <v>0</v>
      </c>
      <c r="M21" s="32">
        <f>+'[2]LIVREUR INTERNE ETC'!M$20</f>
        <v>9600</v>
      </c>
      <c r="N21" s="32">
        <f>+'[2]LIVREUR INTERNE ETC'!Q$20</f>
        <v>0</v>
      </c>
      <c r="O21" s="35">
        <f t="shared" si="0"/>
        <v>19200</v>
      </c>
    </row>
    <row r="22" spans="1:15">
      <c r="A22" s="5">
        <v>46220</v>
      </c>
      <c r="B22" s="32">
        <f>+'[3]LIVREUR INTERNE ETC'!B$20</f>
        <v>120</v>
      </c>
      <c r="C22" s="32">
        <f>+'[3]LIVREUR INTERNE ETC'!C$20</f>
        <v>0</v>
      </c>
      <c r="D22" s="32">
        <f>+'[3]LIVREUR INTERNE ETC'!D$20</f>
        <v>0</v>
      </c>
      <c r="E22" s="32">
        <f>+'[3]LIVREUR INTERNE ETC'!E$20</f>
        <v>0</v>
      </c>
      <c r="F22" s="32">
        <f>+'[3]LIVREUR INTERNE ETC'!F$20</f>
        <v>0</v>
      </c>
      <c r="G22" s="32">
        <f>+'[3]LIVREUR INTERNE ETC'!G$20</f>
        <v>0</v>
      </c>
      <c r="H22" s="32">
        <f>+'[3]LIVREUR INTERNE ETC'!H$20</f>
        <v>0</v>
      </c>
      <c r="I22" s="32">
        <f>+'[3]LIVREUR INTERNE ETC'!I$20</f>
        <v>0</v>
      </c>
      <c r="J22" s="32">
        <f>+'[3]LIVREUR INTERNE ETC'!J$20</f>
        <v>0</v>
      </c>
      <c r="K22" s="32">
        <f>+'[3]LIVREUR INTERNE ETC'!K$20</f>
        <v>0</v>
      </c>
      <c r="L22" s="32">
        <f>+'[3]LIVREUR INTERNE ETC'!L$20</f>
        <v>0</v>
      </c>
      <c r="M22" s="32">
        <f>+'[3]LIVREUR INTERNE ETC'!M$20</f>
        <v>9600</v>
      </c>
      <c r="N22" s="32">
        <f>+'[3]LIVREUR INTERNE ETC'!Q$20</f>
        <v>0</v>
      </c>
      <c r="O22" s="35">
        <f t="shared" si="0"/>
        <v>28800</v>
      </c>
    </row>
    <row r="23" spans="1:15">
      <c r="A23" s="5">
        <v>46221</v>
      </c>
      <c r="B23" s="32">
        <f>+'[4]LIVREUR INTERNE ETC'!B$20</f>
        <v>120</v>
      </c>
      <c r="C23" s="32">
        <f>+'[4]LIVREUR INTERNE ETC'!C$20</f>
        <v>0</v>
      </c>
      <c r="D23" s="32">
        <f>+'[4]LIVREUR INTERNE ETC'!D$20</f>
        <v>0</v>
      </c>
      <c r="E23" s="32">
        <f>+'[4]LIVREUR INTERNE ETC'!E$20</f>
        <v>0</v>
      </c>
      <c r="F23" s="32">
        <f>+'[4]LIVREUR INTERNE ETC'!F$20</f>
        <v>0</v>
      </c>
      <c r="G23" s="32">
        <f>+'[4]LIVREUR INTERNE ETC'!G$20</f>
        <v>0</v>
      </c>
      <c r="H23" s="32">
        <f>+'[4]LIVREUR INTERNE ETC'!H$20</f>
        <v>0</v>
      </c>
      <c r="I23" s="32">
        <f>+'[4]LIVREUR INTERNE ETC'!I$20</f>
        <v>0</v>
      </c>
      <c r="J23" s="32">
        <f>+'[4]LIVREUR INTERNE ETC'!J$20</f>
        <v>0</v>
      </c>
      <c r="K23" s="32">
        <f>+'[4]LIVREUR INTERNE ETC'!K$20</f>
        <v>0</v>
      </c>
      <c r="L23" s="32">
        <f>+'[4]LIVREUR INTERNE ETC'!L$20</f>
        <v>0</v>
      </c>
      <c r="M23" s="32">
        <f>+'[4]LIVREUR INTERNE ETC'!M$20</f>
        <v>9600</v>
      </c>
      <c r="N23" s="32">
        <f>+'[4]LIVREUR INTERNE ETC'!Q$20</f>
        <v>0</v>
      </c>
      <c r="O23" s="35">
        <f t="shared" si="0"/>
        <v>38400</v>
      </c>
    </row>
    <row r="24" spans="1:15">
      <c r="A24" s="5">
        <v>46222</v>
      </c>
      <c r="B24" s="32">
        <f>+'[5]LIVREUR INTERNE ETC'!B$20</f>
        <v>120</v>
      </c>
      <c r="C24" s="32">
        <f>+'[5]LIVREUR INTERNE ETC'!C$20</f>
        <v>0</v>
      </c>
      <c r="D24" s="32">
        <f>+'[5]LIVREUR INTERNE ETC'!D$20</f>
        <v>0</v>
      </c>
      <c r="E24" s="32">
        <f>+'[5]LIVREUR INTERNE ETC'!E$20</f>
        <v>0</v>
      </c>
      <c r="F24" s="32">
        <f>+'[5]LIVREUR INTERNE ETC'!F$20</f>
        <v>0</v>
      </c>
      <c r="G24" s="32">
        <f>+'[5]LIVREUR INTERNE ETC'!G$20</f>
        <v>0</v>
      </c>
      <c r="H24" s="32">
        <f>+'[5]LIVREUR INTERNE ETC'!H$20</f>
        <v>0</v>
      </c>
      <c r="I24" s="32">
        <f>+'[5]LIVREUR INTERNE ETC'!I$20</f>
        <v>0</v>
      </c>
      <c r="J24" s="32">
        <f>+'[5]LIVREUR INTERNE ETC'!J$20</f>
        <v>0</v>
      </c>
      <c r="K24" s="32">
        <f>+'[5]LIVREUR INTERNE ETC'!K$20</f>
        <v>0</v>
      </c>
      <c r="L24" s="32">
        <f>+'[5]LIVREUR INTERNE ETC'!L$20</f>
        <v>0</v>
      </c>
      <c r="M24" s="32">
        <f>+'[5]LIVREUR INTERNE ETC'!M$20</f>
        <v>9600</v>
      </c>
      <c r="N24" s="32">
        <f>+'[1]LIVREUR INTERNE ETC'!Q$20</f>
        <v>0</v>
      </c>
      <c r="O24" s="35">
        <f t="shared" si="0"/>
        <v>48000</v>
      </c>
    </row>
    <row r="25" spans="1:15">
      <c r="A25" s="5">
        <v>46223</v>
      </c>
      <c r="B25" s="32">
        <f>+'[6]LIVREUR INTERNE ETC'!B$20</f>
        <v>120</v>
      </c>
      <c r="C25" s="32">
        <f>+'[6]LIVREUR INTERNE ETC'!C$20</f>
        <v>0</v>
      </c>
      <c r="D25" s="32">
        <f>+'[6]LIVREUR INTERNE ETC'!D$20</f>
        <v>0</v>
      </c>
      <c r="E25" s="32">
        <f>+'[6]LIVREUR INTERNE ETC'!E$20</f>
        <v>0</v>
      </c>
      <c r="F25" s="32">
        <f>+'[6]LIVREUR INTERNE ETC'!F$20</f>
        <v>0</v>
      </c>
      <c r="G25" s="32">
        <f>+'[6]LIVREUR INTERNE ETC'!G$20</f>
        <v>0</v>
      </c>
      <c r="H25" s="32">
        <f>+'[6]LIVREUR INTERNE ETC'!H$20</f>
        <v>0</v>
      </c>
      <c r="I25" s="32">
        <f>+'[6]LIVREUR INTERNE ETC'!I$20</f>
        <v>0</v>
      </c>
      <c r="J25" s="32">
        <f>+'[6]LIVREUR INTERNE ETC'!J$20</f>
        <v>0</v>
      </c>
      <c r="K25" s="32">
        <f>+'[6]LIVREUR INTERNE ETC'!K$20</f>
        <v>0</v>
      </c>
      <c r="L25" s="32">
        <f>+'[6]LIVREUR INTERNE ETC'!L$20</f>
        <v>0</v>
      </c>
      <c r="M25" s="32">
        <f>+'[6]LIVREUR INTERNE ETC'!M$20</f>
        <v>9600</v>
      </c>
      <c r="N25" s="32">
        <f>+'[1]LIVREUR INTERNE ETC'!Q$20</f>
        <v>0</v>
      </c>
      <c r="O25" s="35">
        <f t="shared" si="0"/>
        <v>57600</v>
      </c>
    </row>
    <row r="26" spans="1:15">
      <c r="A26" s="5">
        <v>46224</v>
      </c>
      <c r="B26" s="32">
        <f>+'[7]LIVREUR INTERNE ETC'!B$20</f>
        <v>120</v>
      </c>
      <c r="C26" s="32">
        <f>+'[7]LIVREUR INTERNE ETC'!C$20</f>
        <v>0</v>
      </c>
      <c r="D26" s="32">
        <f>+'[7]LIVREUR INTERNE ETC'!D$20</f>
        <v>0</v>
      </c>
      <c r="E26" s="32">
        <f>+'[7]LIVREUR INTERNE ETC'!E$20</f>
        <v>0</v>
      </c>
      <c r="F26" s="32">
        <f>+'[7]LIVREUR INTERNE ETC'!F$20</f>
        <v>0</v>
      </c>
      <c r="G26" s="32">
        <f>+'[7]LIVREUR INTERNE ETC'!G$20</f>
        <v>0</v>
      </c>
      <c r="H26" s="32">
        <f>+'[7]LIVREUR INTERNE ETC'!H$20</f>
        <v>0</v>
      </c>
      <c r="I26" s="32">
        <f>+'[7]LIVREUR INTERNE ETC'!I$20</f>
        <v>0</v>
      </c>
      <c r="J26" s="32">
        <f>+'[7]LIVREUR INTERNE ETC'!J$20</f>
        <v>0</v>
      </c>
      <c r="K26" s="32">
        <f>+'[7]LIVREUR INTERNE ETC'!K$20</f>
        <v>0</v>
      </c>
      <c r="L26" s="32">
        <f>+'[7]LIVREUR INTERNE ETC'!L$20</f>
        <v>0</v>
      </c>
      <c r="M26" s="32">
        <f>+'[7]LIVREUR INTERNE ETC'!M$20</f>
        <v>9600</v>
      </c>
      <c r="N26" s="32">
        <f>+'[1]LIVREUR INTERNE ETC'!Q$20</f>
        <v>0</v>
      </c>
      <c r="O26" s="35">
        <f t="shared" si="0"/>
        <v>67200</v>
      </c>
    </row>
    <row r="27" spans="1:15">
      <c r="A27" s="5">
        <v>46225</v>
      </c>
      <c r="B27" s="32">
        <f>+'[1]LIVREUR INTERNE ETC'!B$20</f>
        <v>120</v>
      </c>
      <c r="C27" s="32">
        <f>+'[1]LIVREUR INTERNE ETC'!C$20</f>
        <v>0</v>
      </c>
      <c r="D27" s="32">
        <f>+'[1]LIVREUR INTERNE ETC'!D$20</f>
        <v>0</v>
      </c>
      <c r="E27" s="32">
        <f>+'[1]LIVREUR INTERNE ETC'!E$20</f>
        <v>0</v>
      </c>
      <c r="F27" s="32">
        <f>+'[1]LIVREUR INTERNE ETC'!F$20</f>
        <v>0</v>
      </c>
      <c r="G27" s="32">
        <f>+'[1]LIVREUR INTERNE ETC'!G$20</f>
        <v>0</v>
      </c>
      <c r="H27" s="32">
        <f>+'[1]LIVREUR INTERNE ETC'!H$20</f>
        <v>0</v>
      </c>
      <c r="I27" s="32">
        <f>+'[1]LIVREUR INTERNE ETC'!I$20</f>
        <v>0</v>
      </c>
      <c r="J27" s="32">
        <f>+'[1]LIVREUR INTERNE ETC'!J$20</f>
        <v>0</v>
      </c>
      <c r="K27" s="32">
        <f>+'[1]LIVREUR INTERNE ETC'!K$20</f>
        <v>0</v>
      </c>
      <c r="L27" s="32">
        <f>+'[1]LIVREUR INTERNE ETC'!L$20</f>
        <v>0</v>
      </c>
      <c r="M27" s="32">
        <f>+'[1]LIVREUR INTERNE ETC'!M$20</f>
        <v>9600</v>
      </c>
      <c r="N27" s="32">
        <f>+'[1]LIVREUR INTERNE ETC'!Q$20</f>
        <v>0</v>
      </c>
      <c r="O27" s="35">
        <f t="shared" si="0"/>
        <v>76800</v>
      </c>
    </row>
    <row r="28" spans="1:15">
      <c r="A28" s="5">
        <v>46226</v>
      </c>
      <c r="B28" s="32">
        <f>+'[1]LIVREUR INTERNE ETC'!B$20</f>
        <v>120</v>
      </c>
      <c r="C28" s="32">
        <f>+'[1]LIVREUR INTERNE ETC'!C$20</f>
        <v>0</v>
      </c>
      <c r="D28" s="32">
        <f>+'[1]LIVREUR INTERNE ETC'!D$20</f>
        <v>0</v>
      </c>
      <c r="E28" s="32">
        <f>+'[1]LIVREUR INTERNE ETC'!E$20</f>
        <v>0</v>
      </c>
      <c r="F28" s="32">
        <f>+'[1]LIVREUR INTERNE ETC'!F$20</f>
        <v>0</v>
      </c>
      <c r="G28" s="32">
        <f>+'[1]LIVREUR INTERNE ETC'!G$20</f>
        <v>0</v>
      </c>
      <c r="H28" s="32">
        <f>+'[1]LIVREUR INTERNE ETC'!H$20</f>
        <v>0</v>
      </c>
      <c r="I28" s="32">
        <f>+'[1]LIVREUR INTERNE ETC'!I$20</f>
        <v>0</v>
      </c>
      <c r="J28" s="32">
        <f>+'[1]LIVREUR INTERNE ETC'!J$20</f>
        <v>0</v>
      </c>
      <c r="K28" s="32">
        <f>+'[1]LIVREUR INTERNE ETC'!K$20</f>
        <v>0</v>
      </c>
      <c r="L28" s="32">
        <f>+'[1]LIVREUR INTERNE ETC'!L$20</f>
        <v>0</v>
      </c>
      <c r="M28" s="32">
        <f>+'[1]LIVREUR INTERNE ETC'!M$20</f>
        <v>9600</v>
      </c>
      <c r="N28" s="32">
        <f>+'[1]LIVREUR INTERNE ETC'!Q$20</f>
        <v>0</v>
      </c>
      <c r="O28" s="35">
        <f t="shared" si="0"/>
        <v>86400</v>
      </c>
    </row>
    <row r="29" spans="1:15">
      <c r="A29" s="5">
        <v>46227</v>
      </c>
      <c r="B29" s="32">
        <f>+'[1]LIVREUR INTERNE ETC'!B$20</f>
        <v>120</v>
      </c>
      <c r="C29" s="32">
        <f>+'[1]LIVREUR INTERNE ETC'!C$20</f>
        <v>0</v>
      </c>
      <c r="D29" s="32">
        <f>+'[1]LIVREUR INTERNE ETC'!D$20</f>
        <v>0</v>
      </c>
      <c r="E29" s="32">
        <f>+'[1]LIVREUR INTERNE ETC'!E$20</f>
        <v>0</v>
      </c>
      <c r="F29" s="32">
        <f>+'[1]LIVREUR INTERNE ETC'!F$20</f>
        <v>0</v>
      </c>
      <c r="G29" s="32">
        <f>+'[1]LIVREUR INTERNE ETC'!G$20</f>
        <v>0</v>
      </c>
      <c r="H29" s="32">
        <f>+'[1]LIVREUR INTERNE ETC'!H$20</f>
        <v>0</v>
      </c>
      <c r="I29" s="32">
        <f>+'[1]LIVREUR INTERNE ETC'!I$20</f>
        <v>0</v>
      </c>
      <c r="J29" s="32">
        <f>+'[1]LIVREUR INTERNE ETC'!J$20</f>
        <v>0</v>
      </c>
      <c r="K29" s="32">
        <f>+'[1]LIVREUR INTERNE ETC'!K$20</f>
        <v>0</v>
      </c>
      <c r="L29" s="32">
        <f>+'[1]LIVREUR INTERNE ETC'!L$20</f>
        <v>0</v>
      </c>
      <c r="M29" s="32">
        <f>+'[1]LIVREUR INTERNE ETC'!M$20</f>
        <v>9600</v>
      </c>
      <c r="N29" s="32">
        <f>+'[1]LIVREUR INTERNE ETC'!Q$20</f>
        <v>0</v>
      </c>
      <c r="O29" s="35">
        <f t="shared" si="0"/>
        <v>96000</v>
      </c>
    </row>
    <row r="30" spans="1:15">
      <c r="A30" s="5">
        <v>46228</v>
      </c>
      <c r="B30" s="32">
        <f>+'[1]LIVREUR INTERNE ETC'!B$20</f>
        <v>120</v>
      </c>
      <c r="C30" s="32">
        <f>+'[1]LIVREUR INTERNE ETC'!C$20</f>
        <v>0</v>
      </c>
      <c r="D30" s="32">
        <f>+'[1]LIVREUR INTERNE ETC'!D$20</f>
        <v>0</v>
      </c>
      <c r="E30" s="32">
        <f>+'[1]LIVREUR INTERNE ETC'!E$20</f>
        <v>0</v>
      </c>
      <c r="F30" s="32">
        <f>+'[1]LIVREUR INTERNE ETC'!F$20</f>
        <v>0</v>
      </c>
      <c r="G30" s="32">
        <f>+'[1]LIVREUR INTERNE ETC'!G$20</f>
        <v>0</v>
      </c>
      <c r="H30" s="32">
        <f>+'[1]LIVREUR INTERNE ETC'!H$20</f>
        <v>0</v>
      </c>
      <c r="I30" s="32">
        <f>+'[1]LIVREUR INTERNE ETC'!I$20</f>
        <v>0</v>
      </c>
      <c r="J30" s="32">
        <f>+'[1]LIVREUR INTERNE ETC'!J$20</f>
        <v>0</v>
      </c>
      <c r="K30" s="32">
        <f>+'[1]LIVREUR INTERNE ETC'!K$20</f>
        <v>0</v>
      </c>
      <c r="L30" s="32">
        <f>+'[1]LIVREUR INTERNE ETC'!L$20</f>
        <v>0</v>
      </c>
      <c r="M30" s="32">
        <f>+'[1]LIVREUR INTERNE ETC'!M$20</f>
        <v>9600</v>
      </c>
      <c r="N30" s="32">
        <f>+'[1]LIVREUR INTERNE ETC'!Q$20</f>
        <v>0</v>
      </c>
      <c r="O30" s="35">
        <f t="shared" si="0"/>
        <v>105600</v>
      </c>
    </row>
    <row r="31" spans="1:15">
      <c r="A31" s="5">
        <v>46229</v>
      </c>
      <c r="B31" s="32">
        <f>+'[1]LIVREUR INTERNE ETC'!B$20</f>
        <v>120</v>
      </c>
      <c r="C31" s="32">
        <f>+'[1]LIVREUR INTERNE ETC'!C$20</f>
        <v>0</v>
      </c>
      <c r="D31" s="32">
        <f>+'[1]LIVREUR INTERNE ETC'!D$20</f>
        <v>0</v>
      </c>
      <c r="E31" s="32">
        <f>+'[1]LIVREUR INTERNE ETC'!E$20</f>
        <v>0</v>
      </c>
      <c r="F31" s="32">
        <f>+'[1]LIVREUR INTERNE ETC'!F$20</f>
        <v>0</v>
      </c>
      <c r="G31" s="32">
        <f>+'[1]LIVREUR INTERNE ETC'!G$20</f>
        <v>0</v>
      </c>
      <c r="H31" s="32">
        <f>+'[1]LIVREUR INTERNE ETC'!H$20</f>
        <v>0</v>
      </c>
      <c r="I31" s="32">
        <f>+'[1]LIVREUR INTERNE ETC'!I$20</f>
        <v>0</v>
      </c>
      <c r="J31" s="32">
        <f>+'[1]LIVREUR INTERNE ETC'!J$20</f>
        <v>0</v>
      </c>
      <c r="K31" s="32">
        <f>+'[1]LIVREUR INTERNE ETC'!K$20</f>
        <v>0</v>
      </c>
      <c r="L31" s="32">
        <f>+'[1]LIVREUR INTERNE ETC'!L$20</f>
        <v>0</v>
      </c>
      <c r="M31" s="32">
        <f>+'[1]LIVREUR INTERNE ETC'!M$20</f>
        <v>9600</v>
      </c>
      <c r="N31" s="32">
        <f>+'[1]LIVREUR INTERNE ETC'!Q$20</f>
        <v>0</v>
      </c>
      <c r="O31" s="35">
        <f t="shared" si="0"/>
        <v>115200</v>
      </c>
    </row>
    <row r="32" spans="1:15">
      <c r="A32" s="5">
        <v>46230</v>
      </c>
      <c r="B32" s="32">
        <f>+'[1]LIVREUR INTERNE ETC'!B$20</f>
        <v>120</v>
      </c>
      <c r="C32" s="32">
        <f>+'[1]LIVREUR INTERNE ETC'!C$20</f>
        <v>0</v>
      </c>
      <c r="D32" s="32">
        <f>+'[1]LIVREUR INTERNE ETC'!D$20</f>
        <v>0</v>
      </c>
      <c r="E32" s="32">
        <f>+'[1]LIVREUR INTERNE ETC'!E$20</f>
        <v>0</v>
      </c>
      <c r="F32" s="32">
        <f>+'[1]LIVREUR INTERNE ETC'!F$20</f>
        <v>0</v>
      </c>
      <c r="G32" s="32">
        <f>+'[1]LIVREUR INTERNE ETC'!G$20</f>
        <v>0</v>
      </c>
      <c r="H32" s="32">
        <f>+'[1]LIVREUR INTERNE ETC'!H$20</f>
        <v>0</v>
      </c>
      <c r="I32" s="32">
        <f>+'[1]LIVREUR INTERNE ETC'!I$20</f>
        <v>0</v>
      </c>
      <c r="J32" s="32">
        <f>+'[1]LIVREUR INTERNE ETC'!J$20</f>
        <v>0</v>
      </c>
      <c r="K32" s="32">
        <f>+'[1]LIVREUR INTERNE ETC'!K$20</f>
        <v>0</v>
      </c>
      <c r="L32" s="32">
        <f>+'[1]LIVREUR INTERNE ETC'!L$20</f>
        <v>0</v>
      </c>
      <c r="M32" s="32">
        <f>+'[1]LIVREUR INTERNE ETC'!M$20</f>
        <v>9600</v>
      </c>
      <c r="N32" s="32">
        <f>+'[1]LIVREUR INTERNE ETC'!Q$20</f>
        <v>0</v>
      </c>
      <c r="O32" s="35">
        <f t="shared" si="0"/>
        <v>124800</v>
      </c>
    </row>
    <row r="33" spans="1:15">
      <c r="A33" s="5">
        <v>46231</v>
      </c>
      <c r="B33" s="32">
        <f>+'[1]LIVREUR INTERNE ETC'!B$20</f>
        <v>120</v>
      </c>
      <c r="C33" s="32">
        <f>+'[1]LIVREUR INTERNE ETC'!C$20</f>
        <v>0</v>
      </c>
      <c r="D33" s="32">
        <f>+'[1]LIVREUR INTERNE ETC'!D$20</f>
        <v>0</v>
      </c>
      <c r="E33" s="32">
        <f>+'[1]LIVREUR INTERNE ETC'!E$20</f>
        <v>0</v>
      </c>
      <c r="F33" s="32">
        <f>+'[1]LIVREUR INTERNE ETC'!F$20</f>
        <v>0</v>
      </c>
      <c r="G33" s="32">
        <f>+'[1]LIVREUR INTERNE ETC'!G$20</f>
        <v>0</v>
      </c>
      <c r="H33" s="32">
        <f>+'[1]LIVREUR INTERNE ETC'!H$20</f>
        <v>0</v>
      </c>
      <c r="I33" s="32">
        <f>+'[1]LIVREUR INTERNE ETC'!I$20</f>
        <v>0</v>
      </c>
      <c r="J33" s="32">
        <f>+'[1]LIVREUR INTERNE ETC'!J$20</f>
        <v>0</v>
      </c>
      <c r="K33" s="32">
        <f>+'[1]LIVREUR INTERNE ETC'!K$20</f>
        <v>0</v>
      </c>
      <c r="L33" s="32">
        <f>+'[1]LIVREUR INTERNE ETC'!L$20</f>
        <v>0</v>
      </c>
      <c r="M33" s="32">
        <f>+'[1]LIVREUR INTERNE ETC'!M$20</f>
        <v>9600</v>
      </c>
      <c r="N33" s="32">
        <f>+'[1]LIVREUR INTERNE ETC'!Q$20</f>
        <v>0</v>
      </c>
      <c r="O33" s="35">
        <f t="shared" si="0"/>
        <v>134400</v>
      </c>
    </row>
    <row r="34" spans="1:15">
      <c r="A34" s="5">
        <v>46232</v>
      </c>
      <c r="B34" s="32">
        <f>+'[1]LIVREUR INTERNE ETC'!B$20</f>
        <v>120</v>
      </c>
      <c r="C34" s="32">
        <f>+'[1]LIVREUR INTERNE ETC'!C$20</f>
        <v>0</v>
      </c>
      <c r="D34" s="32">
        <f>+'[1]LIVREUR INTERNE ETC'!D$20</f>
        <v>0</v>
      </c>
      <c r="E34" s="32">
        <f>+'[1]LIVREUR INTERNE ETC'!E$20</f>
        <v>0</v>
      </c>
      <c r="F34" s="32">
        <f>+'[1]LIVREUR INTERNE ETC'!F$20</f>
        <v>0</v>
      </c>
      <c r="G34" s="32">
        <f>+'[1]LIVREUR INTERNE ETC'!G$20</f>
        <v>0</v>
      </c>
      <c r="H34" s="32">
        <f>+'[1]LIVREUR INTERNE ETC'!H$20</f>
        <v>0</v>
      </c>
      <c r="I34" s="32">
        <f>+'[1]LIVREUR INTERNE ETC'!I$20</f>
        <v>0</v>
      </c>
      <c r="J34" s="32">
        <f>+'[1]LIVREUR INTERNE ETC'!J$20</f>
        <v>0</v>
      </c>
      <c r="K34" s="32">
        <f>+'[1]LIVREUR INTERNE ETC'!K$20</f>
        <v>0</v>
      </c>
      <c r="L34" s="32">
        <f>+'[1]LIVREUR INTERNE ETC'!L$20</f>
        <v>0</v>
      </c>
      <c r="M34" s="32">
        <f>+'[1]LIVREUR INTERNE ETC'!M$20</f>
        <v>9600</v>
      </c>
      <c r="N34" s="32">
        <f>+'[1]LIVREUR INTERNE ETC'!Q$20</f>
        <v>0</v>
      </c>
      <c r="O34" s="35">
        <f t="shared" si="0"/>
        <v>144000</v>
      </c>
    </row>
    <row r="35" spans="1:15">
      <c r="A35" s="5">
        <v>46233</v>
      </c>
      <c r="B35" s="32">
        <f>+'[1]LIVREUR INTERNE ETC'!B$20</f>
        <v>120</v>
      </c>
      <c r="C35" s="32">
        <f>+'[1]LIVREUR INTERNE ETC'!C$20</f>
        <v>0</v>
      </c>
      <c r="D35" s="32">
        <f>+'[1]LIVREUR INTERNE ETC'!D$20</f>
        <v>0</v>
      </c>
      <c r="E35" s="32">
        <f>+'[1]LIVREUR INTERNE ETC'!E$20</f>
        <v>0</v>
      </c>
      <c r="F35" s="32">
        <f>+'[1]LIVREUR INTERNE ETC'!F$20</f>
        <v>0</v>
      </c>
      <c r="G35" s="32">
        <f>+'[1]LIVREUR INTERNE ETC'!G$20</f>
        <v>0</v>
      </c>
      <c r="H35" s="32">
        <f>+'[1]LIVREUR INTERNE ETC'!H$20</f>
        <v>0</v>
      </c>
      <c r="I35" s="32">
        <f>+'[1]LIVREUR INTERNE ETC'!I$20</f>
        <v>0</v>
      </c>
      <c r="J35" s="32">
        <f>+'[1]LIVREUR INTERNE ETC'!J$20</f>
        <v>0</v>
      </c>
      <c r="K35" s="32">
        <f>+'[1]LIVREUR INTERNE ETC'!K$20</f>
        <v>0</v>
      </c>
      <c r="L35" s="32">
        <f>+'[1]LIVREUR INTERNE ETC'!L$20</f>
        <v>0</v>
      </c>
      <c r="M35" s="32">
        <f>+'[1]LIVREUR INTERNE ETC'!M$20</f>
        <v>9600</v>
      </c>
      <c r="N35" s="32">
        <f>+'[1]LIVREUR INTERNE ETC'!Q$20</f>
        <v>0</v>
      </c>
      <c r="O35" s="35">
        <f t="shared" si="0"/>
        <v>153600</v>
      </c>
    </row>
    <row r="36" spans="1:15">
      <c r="A36" s="5">
        <v>46234</v>
      </c>
      <c r="B36" s="32">
        <f>+'[1]LIVREUR INTERNE ETC'!B$20</f>
        <v>120</v>
      </c>
      <c r="C36" s="32">
        <f>+'[1]LIVREUR INTERNE ETC'!C$20</f>
        <v>0</v>
      </c>
      <c r="D36" s="32">
        <f>+'[1]LIVREUR INTERNE ETC'!D$20</f>
        <v>0</v>
      </c>
      <c r="E36" s="32">
        <f>+'[1]LIVREUR INTERNE ETC'!E$20</f>
        <v>0</v>
      </c>
      <c r="F36" s="32">
        <f>+'[1]LIVREUR INTERNE ETC'!F$20</f>
        <v>0</v>
      </c>
      <c r="G36" s="32">
        <f>+'[1]LIVREUR INTERNE ETC'!G$20</f>
        <v>0</v>
      </c>
      <c r="H36" s="32">
        <f>+'[1]LIVREUR INTERNE ETC'!H$20</f>
        <v>0</v>
      </c>
      <c r="I36" s="32">
        <f>+'[1]LIVREUR INTERNE ETC'!I$20</f>
        <v>0</v>
      </c>
      <c r="J36" s="32">
        <f>+'[1]LIVREUR INTERNE ETC'!J$20</f>
        <v>0</v>
      </c>
      <c r="K36" s="32">
        <f>+'[1]LIVREUR INTERNE ETC'!K$20</f>
        <v>0</v>
      </c>
      <c r="L36" s="32">
        <f>+'[1]LIVREUR INTERNE ETC'!L$20</f>
        <v>0</v>
      </c>
      <c r="M36" s="32">
        <f>+'[1]LIVREUR INTERNE ETC'!M$20</f>
        <v>9600</v>
      </c>
      <c r="N36" s="32">
        <f>+'[1]LIVREUR INTERNE ETC'!Q$20</f>
        <v>0</v>
      </c>
      <c r="O36" s="35">
        <f t="shared" si="0"/>
        <v>163200</v>
      </c>
    </row>
    <row r="37" spans="1:15">
      <c r="A37" s="32" t="s">
        <v>10</v>
      </c>
      <c r="B37" s="35">
        <f>+SUM(B5:B36)</f>
        <v>2040</v>
      </c>
      <c r="C37" s="35">
        <f t="shared" ref="C37:N37" si="1">+SUM(C5:C36)</f>
        <v>0</v>
      </c>
      <c r="D37" s="35">
        <f t="shared" si="1"/>
        <v>0</v>
      </c>
      <c r="E37" s="35">
        <f t="shared" si="1"/>
        <v>0</v>
      </c>
      <c r="F37" s="35">
        <f t="shared" si="1"/>
        <v>0</v>
      </c>
      <c r="G37" s="35">
        <f t="shared" si="1"/>
        <v>0</v>
      </c>
      <c r="H37" s="35">
        <f t="shared" si="1"/>
        <v>0</v>
      </c>
      <c r="I37" s="35">
        <f t="shared" si="1"/>
        <v>0</v>
      </c>
      <c r="J37" s="35">
        <f t="shared" si="1"/>
        <v>0</v>
      </c>
      <c r="K37" s="35">
        <f t="shared" si="1"/>
        <v>0</v>
      </c>
      <c r="L37" s="35">
        <f>+SUM(L5:L36)</f>
        <v>0</v>
      </c>
      <c r="M37" s="35">
        <f t="shared" si="1"/>
        <v>163200</v>
      </c>
      <c r="N37" s="35">
        <f t="shared" si="1"/>
        <v>0</v>
      </c>
      <c r="O37" s="35">
        <f>+M37-N37</f>
        <v>163200</v>
      </c>
    </row>
  </sheetData>
  <mergeCells count="11">
    <mergeCell ref="M2:M4"/>
    <mergeCell ref="N2:N4"/>
    <mergeCell ref="O2:O4"/>
    <mergeCell ref="B3:C3"/>
    <mergeCell ref="F3:G3"/>
    <mergeCell ref="A1:J1"/>
    <mergeCell ref="A2:A4"/>
    <mergeCell ref="B2:E2"/>
    <mergeCell ref="F2:J2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AWE</vt:lpstr>
      <vt:lpstr>CHRISTIAN</vt:lpstr>
      <vt:lpstr>COLLINS</vt:lpstr>
      <vt:lpstr>MELI</vt:lpstr>
      <vt:lpstr>LEPAMOU</vt:lpstr>
      <vt:lpstr>LUCAS</vt:lpstr>
      <vt:lpstr>THEOPHILE</vt:lpstr>
      <vt:lpstr>OLOMO</vt:lpstr>
      <vt:lpstr>LANDRY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2026-07-15T18:56:22Z</cp:lastPrinted>
  <dcterms:created xsi:type="dcterms:W3CDTF">2026-07-15T18:36:46Z</dcterms:created>
  <dcterms:modified xsi:type="dcterms:W3CDTF">2026-08-04T16:23:56Z</dcterms:modified>
</cp:coreProperties>
</file>