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2" l="1"/>
  <c r="E31" i="2"/>
  <c r="D31" i="2"/>
  <c r="C31" i="2"/>
  <c r="B31" i="2"/>
  <c r="C9" i="4"/>
  <c r="S20" i="4"/>
  <c r="S26" i="4"/>
  <c r="O26" i="4"/>
  <c r="O20" i="4"/>
  <c r="O4" i="4"/>
  <c r="O5" i="4"/>
  <c r="O6" i="4"/>
  <c r="O7" i="4"/>
  <c r="O8" i="4"/>
  <c r="O9" i="4"/>
  <c r="O3" i="4"/>
  <c r="K11" i="1"/>
  <c r="K12" i="1"/>
  <c r="K13" i="1"/>
  <c r="K14" i="1"/>
  <c r="K15" i="1"/>
  <c r="K16" i="1"/>
  <c r="K17" i="1"/>
  <c r="K10" i="1"/>
  <c r="K5" i="2"/>
  <c r="K6" i="2"/>
  <c r="K7" i="2"/>
  <c r="K8" i="2"/>
  <c r="K9" i="2"/>
  <c r="K10" i="2"/>
  <c r="K11" i="2"/>
  <c r="K12" i="2"/>
  <c r="K13" i="2"/>
  <c r="K4" i="2"/>
  <c r="S4" i="4"/>
  <c r="S5" i="4"/>
  <c r="S6" i="4"/>
  <c r="S7" i="4"/>
  <c r="S8" i="4"/>
  <c r="S9" i="4"/>
  <c r="S3" i="4"/>
  <c r="O5" i="2"/>
  <c r="O6" i="2"/>
  <c r="O7" i="2"/>
  <c r="O8" i="2"/>
  <c r="O9" i="2"/>
  <c r="O10" i="2"/>
  <c r="O11" i="2"/>
  <c r="O12" i="2"/>
  <c r="O13" i="2"/>
  <c r="O4" i="2"/>
  <c r="O11" i="1"/>
  <c r="O12" i="1"/>
  <c r="O13" i="1"/>
  <c r="O14" i="1"/>
  <c r="O15" i="1"/>
  <c r="O16" i="1"/>
  <c r="O17" i="1"/>
  <c r="O10" i="1"/>
  <c r="N20" i="4" l="1"/>
  <c r="J16" i="1" l="1"/>
  <c r="K18" i="1"/>
  <c r="K19" i="1"/>
  <c r="K20" i="1"/>
  <c r="O18" i="1"/>
  <c r="O19" i="1"/>
  <c r="O20" i="1"/>
  <c r="K14" i="2"/>
  <c r="K15" i="2"/>
  <c r="K16" i="2"/>
  <c r="K17" i="2"/>
  <c r="O14" i="2"/>
  <c r="O15" i="2"/>
  <c r="O16" i="2"/>
  <c r="O17" i="2"/>
  <c r="O10" i="4"/>
  <c r="O11" i="4"/>
  <c r="O12" i="4"/>
  <c r="O13" i="4"/>
  <c r="S10" i="4"/>
  <c r="S11" i="4"/>
  <c r="S12" i="4"/>
  <c r="S13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9" i="4"/>
  <c r="N26" i="4"/>
  <c r="B18" i="2"/>
  <c r="N10" i="4"/>
  <c r="M4" i="2" l="1"/>
  <c r="M13" i="1"/>
  <c r="Q13" i="1"/>
  <c r="U8" i="4"/>
  <c r="U7" i="4"/>
  <c r="Q4" i="2"/>
  <c r="U4" i="4"/>
  <c r="U5" i="4"/>
  <c r="U10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D21" i="1"/>
  <c r="E21" i="1"/>
  <c r="F21" i="1"/>
  <c r="G21" i="1"/>
  <c r="H21" i="1"/>
  <c r="I21" i="1"/>
  <c r="L21" i="1"/>
  <c r="B21" i="1"/>
  <c r="N13" i="4"/>
  <c r="U13" i="4" s="1"/>
  <c r="N12" i="4"/>
  <c r="U12" i="4" s="1"/>
  <c r="N11" i="4"/>
  <c r="U11" i="4" s="1"/>
  <c r="C14" i="4"/>
  <c r="D14" i="4"/>
  <c r="E14" i="4"/>
  <c r="F14" i="4"/>
  <c r="G14" i="4"/>
  <c r="H14" i="4"/>
  <c r="I14" i="4"/>
  <c r="J14" i="4"/>
  <c r="K14" i="4"/>
  <c r="L14" i="4"/>
  <c r="P14" i="4"/>
  <c r="R14" i="4"/>
  <c r="B14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Q13" i="2" l="1"/>
  <c r="J21" i="1"/>
  <c r="N14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0" i="4"/>
  <c r="U20" i="4"/>
  <c r="Q26" i="4"/>
  <c r="U26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1" i="4"/>
  <c r="Q4" i="4"/>
  <c r="U3" i="4"/>
  <c r="Q3" i="4"/>
  <c r="O14" i="4"/>
  <c r="Q10" i="4"/>
  <c r="Q13" i="4"/>
  <c r="Q9" i="4"/>
  <c r="Q8" i="4"/>
  <c r="Q5" i="4"/>
  <c r="Q12" i="4"/>
  <c r="Q6" i="4"/>
  <c r="K21" i="1"/>
  <c r="M15" i="1" l="1"/>
  <c r="Q15" i="1"/>
  <c r="M18" i="2"/>
  <c r="Q14" i="1"/>
  <c r="M14" i="1"/>
  <c r="Q18" i="2"/>
  <c r="Q14" i="4"/>
  <c r="U14" i="4"/>
  <c r="M21" i="1" l="1"/>
  <c r="Q21" i="1"/>
</calcChain>
</file>

<file path=xl/sharedStrings.xml><?xml version="1.0" encoding="utf-8"?>
<sst xmlns="http://schemas.openxmlformats.org/spreadsheetml/2006/main" count="131" uniqueCount="82">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</sst>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1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10900</v>
          </cell>
        </row>
        <row r="11">
          <cell r="N11">
            <v>0</v>
          </cell>
          <cell r="Q11">
            <v>85360</v>
          </cell>
        </row>
        <row r="12">
          <cell r="N12">
            <v>17500</v>
          </cell>
          <cell r="Q12">
            <v>10270</v>
          </cell>
        </row>
        <row r="13">
          <cell r="N13">
            <v>96500</v>
          </cell>
          <cell r="Q13">
            <v>-52260</v>
          </cell>
        </row>
        <row r="14">
          <cell r="N14">
            <v>70000</v>
          </cell>
          <cell r="Q14">
            <v>-1329315</v>
          </cell>
        </row>
        <row r="15">
          <cell r="N15">
            <v>25440</v>
          </cell>
          <cell r="Q15">
            <v>-84140</v>
          </cell>
        </row>
        <row r="16">
          <cell r="N16"/>
          <cell r="Q16">
            <v>565560</v>
          </cell>
        </row>
        <row r="17">
          <cell r="N17">
            <v>18400</v>
          </cell>
          <cell r="Q17">
            <v>-10400</v>
          </cell>
        </row>
      </sheetData>
      <sheetData sheetId="1">
        <row r="4">
          <cell r="N4">
            <v>57500</v>
          </cell>
          <cell r="Q4">
            <v>433055</v>
          </cell>
        </row>
        <row r="5">
          <cell r="N5">
            <v>0</v>
          </cell>
          <cell r="Q5">
            <v>409090</v>
          </cell>
        </row>
        <row r="6">
          <cell r="N6">
            <v>150000</v>
          </cell>
          <cell r="Q6">
            <v>456430</v>
          </cell>
        </row>
        <row r="7">
          <cell r="N7">
            <v>0</v>
          </cell>
          <cell r="Q7">
            <v>619360</v>
          </cell>
        </row>
        <row r="8">
          <cell r="N8">
            <v>0</v>
          </cell>
          <cell r="Q8">
            <v>678245</v>
          </cell>
        </row>
        <row r="9">
          <cell r="N9">
            <v>145500</v>
          </cell>
          <cell r="Q9">
            <v>707536</v>
          </cell>
        </row>
        <row r="10">
          <cell r="N10">
            <v>133000</v>
          </cell>
          <cell r="Q10">
            <v>229270</v>
          </cell>
        </row>
        <row r="11">
          <cell r="N11">
            <v>95000</v>
          </cell>
          <cell r="Q11">
            <v>253360</v>
          </cell>
        </row>
        <row r="12">
          <cell r="N12">
            <v>42400</v>
          </cell>
          <cell r="Q12">
            <v>-25660</v>
          </cell>
        </row>
        <row r="13">
          <cell r="N13"/>
          <cell r="Q13">
            <v>419255</v>
          </cell>
        </row>
      </sheetData>
      <sheetData sheetId="2">
        <row r="3">
          <cell r="R3">
            <v>175200</v>
          </cell>
          <cell r="U3">
            <v>3326620</v>
          </cell>
        </row>
        <row r="4">
          <cell r="R4">
            <v>0</v>
          </cell>
          <cell r="U4">
            <v>252235</v>
          </cell>
        </row>
        <row r="5">
          <cell r="R5">
            <v>0</v>
          </cell>
          <cell r="U5">
            <v>1573060</v>
          </cell>
        </row>
        <row r="6">
          <cell r="R6">
            <v>0</v>
          </cell>
          <cell r="U6">
            <v>635965</v>
          </cell>
        </row>
        <row r="7">
          <cell r="R7">
            <v>211600</v>
          </cell>
          <cell r="U7">
            <v>230400</v>
          </cell>
        </row>
        <row r="8">
          <cell r="R8">
            <v>75000</v>
          </cell>
          <cell r="U8">
            <v>8115</v>
          </cell>
        </row>
        <row r="9">
          <cell r="R9"/>
          <cell r="U9">
            <v>182200</v>
          </cell>
        </row>
        <row r="20">
          <cell r="R20">
            <v>0</v>
          </cell>
          <cell r="U20">
            <v>197405</v>
          </cell>
        </row>
        <row r="26">
          <cell r="R26">
            <v>0</v>
          </cell>
          <cell r="U26">
            <v>6000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0">
          <cell r="R10"/>
          <cell r="U10">
            <v>0</v>
          </cell>
        </row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tabSelected="1" workbookViewId="0">
      <selection activeCell="N18" sqref="N18"/>
    </sheetView>
  </sheetViews>
  <sheetFormatPr baseColWidth="10" defaultRowHeight="14.25"/>
  <cols>
    <col min="1" max="1" width="14.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5" style="2" customWidth="1"/>
    <col min="14" max="15" width="8.375" style="2" customWidth="1"/>
    <col min="16" max="16" width="6.5" style="2" customWidth="1"/>
    <col min="17" max="17" width="9.5" style="2" customWidth="1"/>
  </cols>
  <sheetData>
    <row r="2" spans="1:17" ht="15" customHeight="1">
      <c r="A2" s="30" t="s">
        <v>52</v>
      </c>
      <c r="B2" s="29" t="s">
        <v>7</v>
      </c>
      <c r="C2" s="29"/>
      <c r="D2" s="29"/>
      <c r="E2" s="29"/>
      <c r="F2" s="29"/>
      <c r="G2" s="29"/>
      <c r="H2" s="8" t="s">
        <v>6</v>
      </c>
      <c r="I2" s="8" t="s">
        <v>31</v>
      </c>
      <c r="J2" s="29" t="s">
        <v>8</v>
      </c>
      <c r="K2" s="29" t="s">
        <v>9</v>
      </c>
      <c r="L2" s="29" t="s">
        <v>10</v>
      </c>
      <c r="M2" s="29" t="s">
        <v>11</v>
      </c>
      <c r="N2" s="29" t="s">
        <v>1</v>
      </c>
      <c r="O2" s="29" t="s">
        <v>46</v>
      </c>
      <c r="P2" s="29" t="s">
        <v>2</v>
      </c>
      <c r="Q2" s="29" t="s">
        <v>30</v>
      </c>
    </row>
    <row r="3" spans="1:17" ht="15" customHeight="1">
      <c r="A3" s="30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29"/>
      <c r="K3" s="29"/>
      <c r="L3" s="29"/>
      <c r="M3" s="29"/>
      <c r="N3" s="29"/>
      <c r="O3" s="29"/>
      <c r="P3" s="29"/>
      <c r="Q3" s="29"/>
    </row>
    <row r="4" spans="1:17" ht="21" customHeight="1">
      <c r="A4" s="10" t="s">
        <v>53</v>
      </c>
      <c r="B4" s="11">
        <v>100</v>
      </c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4000</v>
      </c>
      <c r="K4" s="12"/>
      <c r="L4" s="12">
        <v>0</v>
      </c>
      <c r="M4" s="12">
        <f t="shared" ref="M4:M15" si="1">+J4+K4+L4</f>
        <v>4000</v>
      </c>
      <c r="N4" s="11"/>
      <c r="O4" s="12"/>
      <c r="P4" s="12"/>
      <c r="Q4" s="12">
        <f t="shared" ref="Q4:Q16" si="2">+J4+K4-N4</f>
        <v>4000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10900</v>
      </c>
      <c r="L10" s="12">
        <v>0</v>
      </c>
      <c r="M10" s="12">
        <f>+J10+K10+L10</f>
        <v>18900</v>
      </c>
      <c r="N10" s="11"/>
      <c r="O10" s="12">
        <f>+'[1]AGENCE CARREF'!$N10</f>
        <v>8000</v>
      </c>
      <c r="P10" s="12"/>
      <c r="Q10" s="12">
        <f t="shared" si="2"/>
        <v>18900</v>
      </c>
    </row>
    <row r="11" spans="1:17" ht="21" customHeight="1">
      <c r="A11" s="10" t="s">
        <v>25</v>
      </c>
      <c r="B11" s="11"/>
      <c r="C11" s="11">
        <v>231</v>
      </c>
      <c r="D11" s="11"/>
      <c r="E11" s="11"/>
      <c r="F11" s="11"/>
      <c r="G11" s="11"/>
      <c r="H11" s="11">
        <v>150</v>
      </c>
      <c r="I11" s="11"/>
      <c r="J11" s="12">
        <f t="shared" si="0"/>
        <v>30480</v>
      </c>
      <c r="K11" s="12">
        <f>+'[1]AGENCE CARREF'!$Q11</f>
        <v>85360</v>
      </c>
      <c r="L11" s="12">
        <v>0</v>
      </c>
      <c r="M11" s="12">
        <f t="shared" si="1"/>
        <v>115840</v>
      </c>
      <c r="N11" s="11"/>
      <c r="O11" s="12">
        <f>+'[1]AGENCE CARREF'!$N11</f>
        <v>0</v>
      </c>
      <c r="P11" s="12"/>
      <c r="Q11" s="12">
        <f t="shared" si="2"/>
        <v>115840</v>
      </c>
    </row>
    <row r="12" spans="1:17" ht="21" customHeight="1">
      <c r="A12" s="10" t="s">
        <v>49</v>
      </c>
      <c r="B12" s="11"/>
      <c r="C12" s="11">
        <v>80</v>
      </c>
      <c r="D12" s="11"/>
      <c r="E12" s="11">
        <v>40</v>
      </c>
      <c r="F12" s="11"/>
      <c r="G12" s="11"/>
      <c r="H12" s="11"/>
      <c r="I12" s="11"/>
      <c r="J12" s="12">
        <f t="shared" si="0"/>
        <v>12800</v>
      </c>
      <c r="K12" s="12">
        <f>+'[1]AGENCE CARREF'!$Q12</f>
        <v>10270</v>
      </c>
      <c r="L12" s="12">
        <v>1500</v>
      </c>
      <c r="M12" s="12">
        <f>+J12+K12+L12</f>
        <v>24570</v>
      </c>
      <c r="N12" s="11">
        <v>12800</v>
      </c>
      <c r="O12" s="12">
        <f>+'[1]AGENCE CARREF'!$N12</f>
        <v>17500</v>
      </c>
      <c r="P12" s="12"/>
      <c r="Q12" s="12">
        <f t="shared" si="2"/>
        <v>10270</v>
      </c>
    </row>
    <row r="13" spans="1:17" ht="21" customHeight="1">
      <c r="A13" s="10" t="s">
        <v>81</v>
      </c>
      <c r="B13" s="11"/>
      <c r="C13" s="11">
        <v>350</v>
      </c>
      <c r="D13" s="11">
        <v>850</v>
      </c>
      <c r="E13" s="11"/>
      <c r="F13" s="11"/>
      <c r="G13" s="11"/>
      <c r="H13" s="11"/>
      <c r="I13" s="11"/>
      <c r="J13" s="12">
        <f t="shared" si="0"/>
        <v>113000</v>
      </c>
      <c r="K13" s="12">
        <f>+'[1]AGENCE CARREF'!$Q13</f>
        <v>-52260</v>
      </c>
      <c r="L13" s="12"/>
      <c r="M13" s="12">
        <f>+J13+K13+L13</f>
        <v>60740</v>
      </c>
      <c r="N13" s="11">
        <v>15000</v>
      </c>
      <c r="O13" s="12">
        <f>+'[1]AGENCE CARREF'!$N13</f>
        <v>96500</v>
      </c>
      <c r="P13" s="12"/>
      <c r="Q13" s="12">
        <f t="shared" si="2"/>
        <v>45740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-1329315</v>
      </c>
      <c r="L14" s="12">
        <v>0</v>
      </c>
      <c r="M14" s="12">
        <f t="shared" si="1"/>
        <v>-1329315</v>
      </c>
      <c r="N14" s="11">
        <v>60350</v>
      </c>
      <c r="O14" s="12">
        <f>+'[1]AGENCE CARREF'!$N14</f>
        <v>70000</v>
      </c>
      <c r="P14" s="12"/>
      <c r="Q14" s="12">
        <f t="shared" si="2"/>
        <v>-1389665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-84140</v>
      </c>
      <c r="L15" s="12">
        <v>0</v>
      </c>
      <c r="M15" s="12">
        <f t="shared" si="1"/>
        <v>-84140</v>
      </c>
      <c r="N15" s="11">
        <v>23600</v>
      </c>
      <c r="O15" s="12">
        <f>+'[1]AGENCE CARREF'!$N15</f>
        <v>25440</v>
      </c>
      <c r="P15" s="12"/>
      <c r="Q15" s="12">
        <f t="shared" si="2"/>
        <v>-107740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150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20000</v>
      </c>
      <c r="K17" s="12">
        <f>+'[1]AGENCE CARREF'!$Q17</f>
        <v>-10400</v>
      </c>
      <c r="L17" s="12">
        <v>24000</v>
      </c>
      <c r="M17" s="12">
        <f>+J17+K17+L17</f>
        <v>33600</v>
      </c>
      <c r="N17" s="11">
        <v>20000</v>
      </c>
      <c r="O17" s="12">
        <f>+'[1]AGENCE CARREF'!$N17</f>
        <v>18400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+'[2]AGENCE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+'[2]AGENCE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+'[2]AGENCE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100</v>
      </c>
      <c r="C21" s="9">
        <f t="shared" ref="C21:Q21" si="3">+SUM(C4:C20)</f>
        <v>911</v>
      </c>
      <c r="D21" s="9">
        <f t="shared" si="3"/>
        <v>850</v>
      </c>
      <c r="E21" s="9">
        <f t="shared" si="3"/>
        <v>90</v>
      </c>
      <c r="F21" s="9">
        <f t="shared" si="3"/>
        <v>0</v>
      </c>
      <c r="G21" s="9">
        <f t="shared" si="3"/>
        <v>0</v>
      </c>
      <c r="H21" s="9">
        <f t="shared" si="3"/>
        <v>150</v>
      </c>
      <c r="I21" s="9">
        <f t="shared" si="3"/>
        <v>0</v>
      </c>
      <c r="J21" s="9">
        <f t="shared" si="3"/>
        <v>188280</v>
      </c>
      <c r="K21" s="9">
        <f t="shared" si="3"/>
        <v>-804025</v>
      </c>
      <c r="L21" s="9">
        <f t="shared" si="3"/>
        <v>89200</v>
      </c>
      <c r="M21" s="9">
        <f t="shared" si="3"/>
        <v>-1092105</v>
      </c>
      <c r="N21" s="9">
        <f t="shared" si="3"/>
        <v>131750</v>
      </c>
      <c r="O21" s="9">
        <f t="shared" si="3"/>
        <v>235840</v>
      </c>
      <c r="P21" s="9"/>
      <c r="Q21" s="9">
        <f t="shared" si="3"/>
        <v>-747495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3" sqref="N13"/>
    </sheetView>
  </sheetViews>
  <sheetFormatPr baseColWidth="10" defaultRowHeight="14.25"/>
  <cols>
    <col min="1" max="1" width="17.875" customWidth="1"/>
    <col min="2" max="2" width="4.25" style="2" customWidth="1"/>
    <col min="3" max="3" width="6.5" style="2" customWidth="1"/>
    <col min="4" max="4" width="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7.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1" t="s">
        <v>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20" t="s">
        <v>28</v>
      </c>
      <c r="N1" s="21">
        <f ca="1">+TODAY()-1</f>
        <v>46236</v>
      </c>
      <c r="O1" s="21"/>
      <c r="P1" s="10"/>
      <c r="Q1" s="10"/>
    </row>
    <row r="2" spans="1:17" s="1" customFormat="1" ht="15">
      <c r="A2" s="30" t="s">
        <v>0</v>
      </c>
      <c r="B2" s="29" t="s">
        <v>7</v>
      </c>
      <c r="C2" s="29"/>
      <c r="D2" s="29"/>
      <c r="E2" s="29"/>
      <c r="F2" s="29"/>
      <c r="G2" s="29"/>
      <c r="H2" s="8" t="s">
        <v>6</v>
      </c>
      <c r="I2" s="8" t="s">
        <v>31</v>
      </c>
      <c r="J2" s="29" t="s">
        <v>8</v>
      </c>
      <c r="K2" s="29" t="s">
        <v>9</v>
      </c>
      <c r="L2" s="29" t="s">
        <v>10</v>
      </c>
      <c r="M2" s="29" t="s">
        <v>11</v>
      </c>
      <c r="N2" s="29" t="s">
        <v>1</v>
      </c>
      <c r="O2" s="29" t="s">
        <v>46</v>
      </c>
      <c r="P2" s="30" t="s">
        <v>2</v>
      </c>
      <c r="Q2" s="30" t="s">
        <v>30</v>
      </c>
    </row>
    <row r="3" spans="1:17" s="1" customFormat="1" ht="22.5">
      <c r="A3" s="30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29"/>
      <c r="K3" s="29"/>
      <c r="L3" s="29"/>
      <c r="M3" s="29"/>
      <c r="N3" s="29"/>
      <c r="O3" s="29"/>
      <c r="P3" s="30"/>
      <c r="Q3" s="30"/>
    </row>
    <row r="4" spans="1:17" ht="24.75" customHeight="1">
      <c r="A4" s="10" t="s">
        <v>12</v>
      </c>
      <c r="B4" s="11"/>
      <c r="C4" s="11">
        <v>250</v>
      </c>
      <c r="D4" s="11">
        <v>518</v>
      </c>
      <c r="E4" s="11">
        <v>17</v>
      </c>
      <c r="F4" s="11"/>
      <c r="G4" s="11"/>
      <c r="H4" s="11"/>
      <c r="I4" s="11"/>
      <c r="J4" s="12">
        <f t="shared" ref="J4:J17" si="0">+B4*40+C4*75+D4*100+E4*160+F4*160+H4*80+I4*100</f>
        <v>73270</v>
      </c>
      <c r="K4" s="12">
        <f>+'[1]LIVREUR EXTERNE'!$Q4</f>
        <v>433055</v>
      </c>
      <c r="L4" s="12">
        <v>2003045</v>
      </c>
      <c r="M4" s="12">
        <f>+SUM(J4:L4)</f>
        <v>2509370</v>
      </c>
      <c r="N4" s="11"/>
      <c r="O4" s="12">
        <f>+'[1]LIVREUR EXTERNE'!$N4</f>
        <v>57500</v>
      </c>
      <c r="P4" s="10"/>
      <c r="Q4" s="13">
        <f>+J4+K4-N4</f>
        <v>506325</v>
      </c>
    </row>
    <row r="5" spans="1:17" ht="24.75" customHeight="1">
      <c r="A5" s="10" t="s">
        <v>19</v>
      </c>
      <c r="B5" s="11"/>
      <c r="C5" s="11">
        <v>410</v>
      </c>
      <c r="D5" s="11">
        <v>50</v>
      </c>
      <c r="E5" s="11"/>
      <c r="F5" s="11"/>
      <c r="G5" s="11"/>
      <c r="H5" s="11"/>
      <c r="I5" s="11"/>
      <c r="J5" s="12">
        <f t="shared" si="0"/>
        <v>35750</v>
      </c>
      <c r="K5" s="12">
        <f>+'[1]LIVREUR EXTERNE'!$Q5</f>
        <v>409090</v>
      </c>
      <c r="L5" s="12">
        <v>833780</v>
      </c>
      <c r="M5" s="12">
        <f t="shared" ref="M5:M17" si="1">+SUM(J5:L5)</f>
        <v>1278620</v>
      </c>
      <c r="N5" s="11">
        <v>75000</v>
      </c>
      <c r="O5" s="12">
        <f>+'[1]LIVREUR EXTERNE'!$N5</f>
        <v>0</v>
      </c>
      <c r="P5" s="10"/>
      <c r="Q5" s="13">
        <f t="shared" ref="Q5:Q17" si="2">+J5+K5-N5</f>
        <v>369840</v>
      </c>
    </row>
    <row r="6" spans="1:17" ht="24.75" customHeight="1">
      <c r="A6" s="10" t="s">
        <v>26</v>
      </c>
      <c r="B6" s="11"/>
      <c r="C6" s="11">
        <v>1040</v>
      </c>
      <c r="D6" s="11">
        <v>450</v>
      </c>
      <c r="E6" s="11">
        <v>5</v>
      </c>
      <c r="F6" s="11"/>
      <c r="G6" s="11"/>
      <c r="H6" s="11"/>
      <c r="I6" s="11">
        <v>10</v>
      </c>
      <c r="J6" s="12">
        <f t="shared" si="0"/>
        <v>124800</v>
      </c>
      <c r="K6" s="12">
        <f>+'[1]LIVREUR EXTERNE'!$Q6</f>
        <v>456430</v>
      </c>
      <c r="L6" s="12">
        <v>1466430</v>
      </c>
      <c r="M6" s="12">
        <f t="shared" si="1"/>
        <v>2047660</v>
      </c>
      <c r="N6" s="11">
        <v>0</v>
      </c>
      <c r="O6" s="12">
        <f>+'[1]LIVREUR EXTERNE'!$N6</f>
        <v>150000</v>
      </c>
      <c r="P6" s="10"/>
      <c r="Q6" s="13">
        <f t="shared" si="2"/>
        <v>581230</v>
      </c>
    </row>
    <row r="7" spans="1:17" ht="24.75" customHeight="1">
      <c r="A7" s="10" t="s">
        <v>15</v>
      </c>
      <c r="B7" s="11"/>
      <c r="C7" s="11">
        <v>475</v>
      </c>
      <c r="D7" s="11">
        <v>510</v>
      </c>
      <c r="E7" s="11">
        <v>5</v>
      </c>
      <c r="F7" s="11"/>
      <c r="G7" s="11"/>
      <c r="H7" s="11"/>
      <c r="I7" s="11"/>
      <c r="J7" s="12">
        <f t="shared" si="0"/>
        <v>87425</v>
      </c>
      <c r="K7" s="12">
        <f>+'[1]LIVREUR EXTERNE'!$Q7</f>
        <v>619360</v>
      </c>
      <c r="L7" s="12">
        <v>1897085</v>
      </c>
      <c r="M7" s="12">
        <f t="shared" si="1"/>
        <v>2603870</v>
      </c>
      <c r="N7" s="11">
        <v>202000</v>
      </c>
      <c r="O7" s="12">
        <f>+'[1]LIVREUR EXTERNE'!$N7</f>
        <v>0</v>
      </c>
      <c r="P7" s="10"/>
      <c r="Q7" s="13">
        <f t="shared" si="2"/>
        <v>504785</v>
      </c>
    </row>
    <row r="8" spans="1:17" ht="24.75" customHeight="1">
      <c r="A8" s="10" t="s">
        <v>17</v>
      </c>
      <c r="B8" s="11"/>
      <c r="C8" s="11">
        <v>540</v>
      </c>
      <c r="D8" s="11">
        <v>625</v>
      </c>
      <c r="E8" s="11">
        <v>5</v>
      </c>
      <c r="F8" s="11"/>
      <c r="G8" s="11"/>
      <c r="H8" s="11"/>
      <c r="I8" s="11">
        <v>20</v>
      </c>
      <c r="J8" s="12">
        <f t="shared" si="0"/>
        <v>105800</v>
      </c>
      <c r="K8" s="12">
        <f>+'[1]LIVREUR EXTERNE'!$Q8</f>
        <v>678245</v>
      </c>
      <c r="L8" s="12">
        <v>1412040</v>
      </c>
      <c r="M8" s="12">
        <f t="shared" si="1"/>
        <v>2196085</v>
      </c>
      <c r="N8" s="11">
        <v>235000</v>
      </c>
      <c r="O8" s="12">
        <f>+'[1]LIVREUR EXTERNE'!$N8</f>
        <v>0</v>
      </c>
      <c r="P8" s="10"/>
      <c r="Q8" s="13">
        <f t="shared" si="2"/>
        <v>549045</v>
      </c>
    </row>
    <row r="9" spans="1:17" ht="24.75" customHeight="1">
      <c r="A9" s="10" t="s">
        <v>29</v>
      </c>
      <c r="B9" s="11">
        <v>150</v>
      </c>
      <c r="C9" s="11">
        <v>840</v>
      </c>
      <c r="D9" s="11">
        <v>750</v>
      </c>
      <c r="E9" s="11"/>
      <c r="F9" s="11"/>
      <c r="G9" s="11"/>
      <c r="H9" s="11"/>
      <c r="I9" s="11"/>
      <c r="J9" s="12">
        <f t="shared" si="0"/>
        <v>144000</v>
      </c>
      <c r="K9" s="12">
        <f>+'[1]LIVREUR EXTERNE'!$Q9</f>
        <v>707536</v>
      </c>
      <c r="L9" s="12">
        <v>2175630</v>
      </c>
      <c r="M9" s="12">
        <f t="shared" si="1"/>
        <v>3027166</v>
      </c>
      <c r="N9" s="11">
        <v>106250</v>
      </c>
      <c r="O9" s="12">
        <f>+'[1]LIVREUR EXTERNE'!$N9</f>
        <v>145500</v>
      </c>
      <c r="P9" s="10"/>
      <c r="Q9" s="13">
        <f t="shared" si="2"/>
        <v>745286</v>
      </c>
    </row>
    <row r="10" spans="1:17" ht="24.75" customHeight="1">
      <c r="A10" s="10" t="s">
        <v>21</v>
      </c>
      <c r="B10" s="11"/>
      <c r="C10" s="11">
        <v>500</v>
      </c>
      <c r="D10" s="11">
        <v>300</v>
      </c>
      <c r="E10" s="11">
        <v>30</v>
      </c>
      <c r="F10" s="11"/>
      <c r="G10" s="11"/>
      <c r="H10" s="11"/>
      <c r="I10" s="11"/>
      <c r="J10" s="12">
        <f t="shared" si="0"/>
        <v>72300</v>
      </c>
      <c r="K10" s="12">
        <f>+'[1]LIVREUR EXTERNE'!$Q10</f>
        <v>229270</v>
      </c>
      <c r="L10" s="12">
        <v>1337940</v>
      </c>
      <c r="M10" s="12">
        <f t="shared" si="1"/>
        <v>1639510</v>
      </c>
      <c r="N10" s="11">
        <v>72500</v>
      </c>
      <c r="O10" s="12">
        <f>+'[1]LIVREUR EXTERNE'!$N10</f>
        <v>133000</v>
      </c>
      <c r="P10" s="10"/>
      <c r="Q10" s="13">
        <f t="shared" si="2"/>
        <v>229070</v>
      </c>
    </row>
    <row r="11" spans="1:17" ht="24.75" customHeight="1">
      <c r="A11" s="10" t="s">
        <v>14</v>
      </c>
      <c r="B11" s="14"/>
      <c r="C11" s="14">
        <v>510</v>
      </c>
      <c r="D11" s="14">
        <v>615</v>
      </c>
      <c r="E11" s="14">
        <v>13</v>
      </c>
      <c r="F11" s="14"/>
      <c r="G11" s="14"/>
      <c r="H11" s="14"/>
      <c r="I11" s="14"/>
      <c r="J11" s="15">
        <f t="shared" si="0"/>
        <v>101830</v>
      </c>
      <c r="K11" s="12">
        <f>+'[1]LIVREUR EXTERNE'!$Q11</f>
        <v>253360</v>
      </c>
      <c r="L11" s="15">
        <v>582810</v>
      </c>
      <c r="M11" s="12">
        <f t="shared" si="1"/>
        <v>938000</v>
      </c>
      <c r="N11" s="14">
        <v>0</v>
      </c>
      <c r="O11" s="12">
        <f>+'[1]LIVREUR EXTERNE'!$N11</f>
        <v>95000</v>
      </c>
      <c r="P11" s="16"/>
      <c r="Q11" s="13">
        <f t="shared" si="2"/>
        <v>355190</v>
      </c>
    </row>
    <row r="12" spans="1:17" ht="24.75" customHeight="1">
      <c r="A12" s="10" t="s">
        <v>75</v>
      </c>
      <c r="B12" s="14"/>
      <c r="C12" s="14">
        <v>95</v>
      </c>
      <c r="D12" s="14">
        <v>310</v>
      </c>
      <c r="E12" s="14">
        <v>27</v>
      </c>
      <c r="F12" s="14"/>
      <c r="G12" s="14"/>
      <c r="H12" s="14"/>
      <c r="I12" s="14"/>
      <c r="J12" s="15">
        <f t="shared" si="0"/>
        <v>42445</v>
      </c>
      <c r="K12" s="12">
        <f>+'[1]LIVREUR EXTERNE'!$Q12</f>
        <v>-25660</v>
      </c>
      <c r="L12" s="15">
        <v>0</v>
      </c>
      <c r="M12" s="12">
        <f t="shared" si="1"/>
        <v>16785</v>
      </c>
      <c r="N12" s="14">
        <v>42000</v>
      </c>
      <c r="O12" s="12">
        <f>+'[1]LIVREUR EXTERNE'!$N12</f>
        <v>42400</v>
      </c>
      <c r="P12" s="16"/>
      <c r="Q12" s="13">
        <f t="shared" si="2"/>
        <v>-25215</v>
      </c>
    </row>
    <row r="13" spans="1:17" ht="24.75" customHeight="1">
      <c r="A13" s="10" t="s">
        <v>76</v>
      </c>
      <c r="B13" s="14"/>
      <c r="C13" s="14">
        <v>1235</v>
      </c>
      <c r="D13" s="14">
        <v>1420</v>
      </c>
      <c r="E13" s="14"/>
      <c r="F13" s="14"/>
      <c r="G13" s="14"/>
      <c r="H13" s="14"/>
      <c r="I13" s="14"/>
      <c r="J13" s="15">
        <f t="shared" si="0"/>
        <v>234625</v>
      </c>
      <c r="K13" s="12">
        <f>+'[1]LIVREUR EXTERNE'!$Q13</f>
        <v>419255</v>
      </c>
      <c r="L13" s="15">
        <v>0</v>
      </c>
      <c r="M13" s="12">
        <f t="shared" si="1"/>
        <v>653880</v>
      </c>
      <c r="N13" s="14"/>
      <c r="O13" s="12">
        <f>+'[1]LIVREUR EXTERNE'!$N13</f>
        <v>0</v>
      </c>
      <c r="P13" s="16"/>
      <c r="Q13" s="13">
        <f>+J13+K13-N13</f>
        <v>653880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+'[2]LIVREUR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150</v>
      </c>
      <c r="C18" s="9">
        <f t="shared" ref="C18:N18" si="3">+SUM(C4:C17)</f>
        <v>5895</v>
      </c>
      <c r="D18" s="9">
        <f t="shared" si="3"/>
        <v>5548</v>
      </c>
      <c r="E18" s="9">
        <f>+SUM(E4:E17)</f>
        <v>102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30</v>
      </c>
      <c r="J18" s="9">
        <f t="shared" si="3"/>
        <v>1022245</v>
      </c>
      <c r="K18" s="9">
        <f>+SUM(K4:K17)</f>
        <v>4179941</v>
      </c>
      <c r="L18" s="9">
        <f>+SUM(L4:L17)</f>
        <v>13467865</v>
      </c>
      <c r="M18" s="9">
        <f t="shared" si="3"/>
        <v>18670051</v>
      </c>
      <c r="N18" s="9">
        <f t="shared" si="3"/>
        <v>732750</v>
      </c>
      <c r="O18" s="9"/>
      <c r="P18" s="18"/>
      <c r="Q18" s="19">
        <f>+SUM(Q4:Q17)</f>
        <v>4469436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ETC'!B14</f>
        <v>500</v>
      </c>
      <c r="C31" s="22">
        <f>+C18+'AGENCE CARREF'!C21+'LIVREUR INTERNE ETC'!C14+'LIVREUR INTERNE ETC'!B20</f>
        <v>11958</v>
      </c>
      <c r="D31" s="22">
        <f>+D18+'AGENCE CARREF'!D21+'LIVREUR INTERNE ETC'!D14</f>
        <v>6398</v>
      </c>
      <c r="E31" s="22">
        <f>+E18+'AGENCE CARREF'!E21+'LIVREUR INTERNE ETC'!E14</f>
        <v>602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zoomScaleNormal="100" workbookViewId="0">
      <selection activeCell="R21" sqref="R21"/>
    </sheetView>
  </sheetViews>
  <sheetFormatPr baseColWidth="10" defaultRowHeight="14.25"/>
  <cols>
    <col min="1" max="1" width="12.75" customWidth="1"/>
    <col min="2" max="2" width="4.75" style="7" bestFit="1" customWidth="1"/>
    <col min="3" max="3" width="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6" style="7" bestFit="1" customWidth="1"/>
    <col min="13" max="13" width="5" style="7" customWidth="1"/>
    <col min="14" max="14" width="7" style="6" customWidth="1"/>
    <col min="15" max="15" width="8" style="6" customWidth="1"/>
    <col min="16" max="16" width="7.625" style="6" customWidth="1"/>
    <col min="17" max="17" width="8.5" style="6" customWidth="1"/>
    <col min="18" max="18" width="7.875" style="7" customWidth="1"/>
    <col min="19" max="19" width="6.87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0" t="s">
        <v>0</v>
      </c>
      <c r="B1" s="29" t="s">
        <v>33</v>
      </c>
      <c r="C1" s="29"/>
      <c r="D1" s="29"/>
      <c r="E1" s="29"/>
      <c r="F1" s="29" t="s">
        <v>32</v>
      </c>
      <c r="G1" s="29"/>
      <c r="H1" s="29"/>
      <c r="I1" s="29"/>
      <c r="J1" s="29"/>
      <c r="K1" s="8" t="s">
        <v>6</v>
      </c>
      <c r="L1" s="8" t="s">
        <v>31</v>
      </c>
      <c r="M1" s="8"/>
      <c r="N1" s="29" t="s">
        <v>8</v>
      </c>
      <c r="O1" s="29" t="s">
        <v>9</v>
      </c>
      <c r="P1" s="29" t="s">
        <v>10</v>
      </c>
      <c r="Q1" s="29" t="s">
        <v>11</v>
      </c>
      <c r="R1" s="29" t="s">
        <v>1</v>
      </c>
      <c r="S1" s="29" t="s">
        <v>46</v>
      </c>
      <c r="T1" s="29" t="s">
        <v>2</v>
      </c>
      <c r="U1" s="29" t="s">
        <v>30</v>
      </c>
    </row>
    <row r="2" spans="1:21" s="4" customFormat="1" ht="33.75">
      <c r="A2" s="30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29"/>
      <c r="O2" s="29"/>
      <c r="P2" s="29"/>
      <c r="Q2" s="29"/>
      <c r="R2" s="29"/>
      <c r="S2" s="29"/>
      <c r="T2" s="29"/>
      <c r="U2" s="29"/>
    </row>
    <row r="3" spans="1:21" ht="22.5" customHeight="1">
      <c r="A3" s="10" t="s">
        <v>34</v>
      </c>
      <c r="B3" s="11"/>
      <c r="C3" s="11">
        <v>1122</v>
      </c>
      <c r="D3" s="11"/>
      <c r="E3" s="11"/>
      <c r="F3" s="11"/>
      <c r="G3" s="11">
        <v>975</v>
      </c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167760</v>
      </c>
      <c r="O3" s="12">
        <f>+'[1]LIVREUR INTERNE ETC'!$U3</f>
        <v>3326620</v>
      </c>
      <c r="P3" s="12">
        <v>295950</v>
      </c>
      <c r="Q3" s="12">
        <f t="shared" ref="Q3:Q13" si="1">+N3+O3+P3</f>
        <v>3790330</v>
      </c>
      <c r="R3" s="11">
        <v>201000</v>
      </c>
      <c r="S3" s="12">
        <f>+'[1]LIVREUR INTERNE ETC'!$R3</f>
        <v>175200</v>
      </c>
      <c r="T3" s="12"/>
      <c r="U3" s="12">
        <f t="shared" ref="U3:U13" si="2">+N3+O3-R3</f>
        <v>3293380</v>
      </c>
    </row>
    <row r="4" spans="1:21" ht="22.5" customHeight="1">
      <c r="A4" s="10" t="s">
        <v>40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0</v>
      </c>
      <c r="O4" s="12">
        <f>+'[1]LIVREUR INTERNE ETC'!$U4</f>
        <v>252235</v>
      </c>
      <c r="P4" s="12">
        <v>476485</v>
      </c>
      <c r="Q4" s="12">
        <f t="shared" si="1"/>
        <v>728720</v>
      </c>
      <c r="R4" s="11">
        <v>0</v>
      </c>
      <c r="S4" s="12">
        <f>+'[1]LIVREUR INTERNE ETC'!$R4</f>
        <v>0</v>
      </c>
      <c r="T4" s="12"/>
      <c r="U4" s="12">
        <f t="shared" si="2"/>
        <v>252235</v>
      </c>
    </row>
    <row r="5" spans="1:21" ht="22.5" customHeight="1">
      <c r="A5" s="10" t="s">
        <v>37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0</v>
      </c>
      <c r="O5" s="12">
        <f>+'[1]LIVREUR INTERNE ETC'!$U5</f>
        <v>1573060</v>
      </c>
      <c r="P5" s="12">
        <v>91600</v>
      </c>
      <c r="Q5" s="12">
        <f t="shared" si="1"/>
        <v>1664660</v>
      </c>
      <c r="R5" s="11">
        <v>0</v>
      </c>
      <c r="S5" s="12">
        <f>+'[1]LIVREUR INTERNE ETC'!$R5</f>
        <v>0</v>
      </c>
      <c r="T5" s="12"/>
      <c r="U5" s="12">
        <f t="shared" si="2"/>
        <v>1573060</v>
      </c>
    </row>
    <row r="6" spans="1:21" ht="22.5" customHeight="1">
      <c r="A6" s="10" t="s">
        <v>39</v>
      </c>
      <c r="B6" s="11">
        <v>250</v>
      </c>
      <c r="C6" s="11">
        <v>1805</v>
      </c>
      <c r="D6" s="11"/>
      <c r="E6" s="11">
        <v>155</v>
      </c>
      <c r="F6" s="11"/>
      <c r="G6" s="11">
        <v>500</v>
      </c>
      <c r="H6" s="11"/>
      <c r="I6" s="11">
        <v>40</v>
      </c>
      <c r="J6" s="11"/>
      <c r="K6" s="11"/>
      <c r="L6" s="11"/>
      <c r="M6" s="11"/>
      <c r="N6" s="12">
        <f t="shared" si="0"/>
        <v>225600</v>
      </c>
      <c r="O6" s="12">
        <f>+'[1]LIVREUR INTERNE ETC'!$U6</f>
        <v>635965</v>
      </c>
      <c r="P6" s="12">
        <v>785440</v>
      </c>
      <c r="Q6" s="12">
        <f t="shared" si="1"/>
        <v>1647005</v>
      </c>
      <c r="R6" s="11">
        <v>395000</v>
      </c>
      <c r="S6" s="12">
        <f>+'[1]LIVREUR INTERNE ETC'!$R6</f>
        <v>0</v>
      </c>
      <c r="T6" s="12"/>
      <c r="U6" s="12">
        <f t="shared" si="2"/>
        <v>466565</v>
      </c>
    </row>
    <row r="7" spans="1:21" ht="22.5" customHeight="1">
      <c r="A7" s="10" t="s">
        <v>35</v>
      </c>
      <c r="B7" s="11"/>
      <c r="C7" s="11">
        <v>1600</v>
      </c>
      <c r="D7" s="11"/>
      <c r="E7" s="11">
        <v>205</v>
      </c>
      <c r="F7" s="11"/>
      <c r="G7" s="11">
        <v>550</v>
      </c>
      <c r="H7" s="11"/>
      <c r="I7" s="11"/>
      <c r="J7" s="11"/>
      <c r="K7" s="11"/>
      <c r="L7" s="11"/>
      <c r="M7" s="11"/>
      <c r="N7" s="12">
        <f t="shared" si="0"/>
        <v>204800</v>
      </c>
      <c r="O7" s="12">
        <f>+'[1]LIVREUR INTERNE ETC'!$U7</f>
        <v>230400</v>
      </c>
      <c r="P7" s="12">
        <v>20920</v>
      </c>
      <c r="Q7" s="12">
        <f t="shared" si="1"/>
        <v>456120</v>
      </c>
      <c r="R7" s="11">
        <v>231000</v>
      </c>
      <c r="S7" s="12">
        <f>+'[1]LIVREUR INTERNE ETC'!$R7</f>
        <v>211600</v>
      </c>
      <c r="T7" s="12"/>
      <c r="U7" s="12">
        <f t="shared" si="2"/>
        <v>204200</v>
      </c>
    </row>
    <row r="8" spans="1:21" ht="22.5" customHeight="1">
      <c r="A8" s="10" t="s">
        <v>45</v>
      </c>
      <c r="B8" s="11"/>
      <c r="C8" s="11"/>
      <c r="D8" s="23"/>
      <c r="E8" s="11"/>
      <c r="F8" s="11"/>
      <c r="G8" s="11"/>
      <c r="H8" s="11"/>
      <c r="I8" s="11"/>
      <c r="J8" s="11"/>
      <c r="K8" s="11"/>
      <c r="L8" s="11"/>
      <c r="M8" s="11"/>
      <c r="N8" s="12">
        <f t="shared" si="0"/>
        <v>0</v>
      </c>
      <c r="O8" s="12">
        <f>+'[1]LIVREUR INTERNE ETC'!$U8</f>
        <v>8115</v>
      </c>
      <c r="P8" s="12">
        <v>0</v>
      </c>
      <c r="Q8" s="12">
        <f t="shared" si="1"/>
        <v>8115</v>
      </c>
      <c r="R8" s="11">
        <v>0</v>
      </c>
      <c r="S8" s="12">
        <f>+'[1]LIVREUR INTERNE ETC'!$R8</f>
        <v>75000</v>
      </c>
      <c r="T8" s="12"/>
      <c r="U8" s="12">
        <f t="shared" si="2"/>
        <v>8115</v>
      </c>
    </row>
    <row r="9" spans="1:21" ht="22.5" customHeight="1">
      <c r="A9" s="10" t="s">
        <v>41</v>
      </c>
      <c r="B9" s="11"/>
      <c r="C9" s="11">
        <f>338+287</f>
        <v>625</v>
      </c>
      <c r="D9" s="11"/>
      <c r="E9" s="11">
        <v>50</v>
      </c>
      <c r="F9" s="11"/>
      <c r="G9" s="11">
        <v>212</v>
      </c>
      <c r="H9" s="11"/>
      <c r="I9" s="11"/>
      <c r="J9" s="11"/>
      <c r="K9" s="11"/>
      <c r="L9" s="11"/>
      <c r="M9" s="11"/>
      <c r="N9" s="12">
        <f>+B9*40+C9*80+D9*100+E9*160+F9*40+G9*80+H9*125+I9*160+K9*80+L9*100</f>
        <v>74960</v>
      </c>
      <c r="O9" s="12">
        <f>+'[1]LIVREUR INTERNE ETC'!$U9</f>
        <v>182200</v>
      </c>
      <c r="P9" s="12">
        <v>0</v>
      </c>
      <c r="Q9" s="12">
        <f t="shared" si="1"/>
        <v>257160</v>
      </c>
      <c r="R9" s="11">
        <v>43000</v>
      </c>
      <c r="S9" s="12">
        <f>+'[1]LIVREUR INTERNE ETC'!$R9</f>
        <v>0</v>
      </c>
      <c r="T9" s="12"/>
      <c r="U9" s="12">
        <f t="shared" si="2"/>
        <v>214160</v>
      </c>
    </row>
    <row r="10" spans="1:21" ht="22.5" customHeight="1">
      <c r="A10" s="17" t="s">
        <v>44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>
        <f>+B10*40+C10*80+D10*100+E10*160+F10*40+G10*80+H10*125+I10*160+K10*80+L10*100</f>
        <v>0</v>
      </c>
      <c r="O10" s="12">
        <f>+'[2]LIVREUR INTERNE ETC'!$U10</f>
        <v>0</v>
      </c>
      <c r="P10" s="12">
        <v>1785760</v>
      </c>
      <c r="Q10" s="12">
        <f t="shared" si="1"/>
        <v>1785760</v>
      </c>
      <c r="R10" s="11"/>
      <c r="S10" s="12">
        <f>+'[2]LIVREUR INTERNE ETC'!$R10</f>
        <v>0</v>
      </c>
      <c r="T10" s="12"/>
      <c r="U10" s="12">
        <f t="shared" si="2"/>
        <v>0</v>
      </c>
    </row>
    <row r="11" spans="1:21" ht="22.5" customHeight="1">
      <c r="A11" s="17" t="s">
        <v>43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>+B11*40+C11*80+D11*100+E11*160+F11*40+G11*80+H11*125+I11*160+K11*80+L11*100</f>
        <v>0</v>
      </c>
      <c r="O11" s="12">
        <f>+'[2]LIVREUR INTERNE ETC'!$U11</f>
        <v>0</v>
      </c>
      <c r="P11" s="12">
        <v>1912780</v>
      </c>
      <c r="Q11" s="12">
        <f t="shared" si="1"/>
        <v>1912780</v>
      </c>
      <c r="R11" s="11"/>
      <c r="S11" s="12">
        <f>+'[2]LIVREUR INTERNE ETC'!$R11</f>
        <v>0</v>
      </c>
      <c r="T11" s="12"/>
      <c r="U11" s="12">
        <f t="shared" si="2"/>
        <v>0</v>
      </c>
    </row>
    <row r="12" spans="1:21" ht="22.5" customHeight="1">
      <c r="A12" s="17" t="s">
        <v>38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>+B12*40+C12*80+D12*100+E12*160+F12*40+G12*80+H12*125+I12*160+K12*80+L12*100</f>
        <v>0</v>
      </c>
      <c r="O12" s="12">
        <f>+'[2]LIVREUR INTERNE ETC'!$U12</f>
        <v>0</v>
      </c>
      <c r="P12" s="12">
        <v>539260</v>
      </c>
      <c r="Q12" s="12">
        <f t="shared" si="1"/>
        <v>539260</v>
      </c>
      <c r="R12" s="11"/>
      <c r="S12" s="12">
        <f>+'[2]LIVREUR INTERNE ETC'!$R12</f>
        <v>0</v>
      </c>
      <c r="T12" s="12"/>
      <c r="U12" s="12">
        <f t="shared" si="2"/>
        <v>0</v>
      </c>
    </row>
    <row r="13" spans="1:21" ht="22.5" customHeight="1">
      <c r="A13" s="17" t="s">
        <v>36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>+B13*40+C13*80+D13*100+E13*160+F13*40+G13*80+H13*125+I13*160+K13*80+L13*100</f>
        <v>0</v>
      </c>
      <c r="O13" s="12">
        <f>+'[2]LIVREUR INTERNE ETC'!$U13</f>
        <v>0</v>
      </c>
      <c r="P13" s="12">
        <v>811420</v>
      </c>
      <c r="Q13" s="12">
        <f t="shared" si="1"/>
        <v>811420</v>
      </c>
      <c r="R13" s="11"/>
      <c r="S13" s="12">
        <f>+'[2]LIVREUR INTERNE ETC'!$R13</f>
        <v>0</v>
      </c>
      <c r="T13" s="12"/>
      <c r="U13" s="12">
        <f t="shared" si="2"/>
        <v>0</v>
      </c>
    </row>
    <row r="14" spans="1:21" s="3" customFormat="1" ht="22.5" customHeight="1">
      <c r="A14" s="18" t="s">
        <v>42</v>
      </c>
      <c r="B14" s="9">
        <f t="shared" ref="B14:R14" si="3">+SUM(B3:B13)</f>
        <v>250</v>
      </c>
      <c r="C14" s="9">
        <f t="shared" si="3"/>
        <v>5152</v>
      </c>
      <c r="D14" s="9">
        <f t="shared" si="3"/>
        <v>0</v>
      </c>
      <c r="E14" s="9">
        <f t="shared" si="3"/>
        <v>410</v>
      </c>
      <c r="F14" s="9">
        <f t="shared" si="3"/>
        <v>0</v>
      </c>
      <c r="G14" s="9">
        <f t="shared" si="3"/>
        <v>2237</v>
      </c>
      <c r="H14" s="9">
        <f t="shared" si="3"/>
        <v>0</v>
      </c>
      <c r="I14" s="9">
        <f t="shared" si="3"/>
        <v>40</v>
      </c>
      <c r="J14" s="9">
        <f t="shared" si="3"/>
        <v>0</v>
      </c>
      <c r="K14" s="9">
        <f t="shared" si="3"/>
        <v>0</v>
      </c>
      <c r="L14" s="9">
        <f t="shared" si="3"/>
        <v>0</v>
      </c>
      <c r="M14" s="9"/>
      <c r="N14" s="9">
        <f t="shared" si="3"/>
        <v>673120</v>
      </c>
      <c r="O14" s="9">
        <f t="shared" si="3"/>
        <v>6208595</v>
      </c>
      <c r="P14" s="9">
        <f t="shared" si="3"/>
        <v>6719615</v>
      </c>
      <c r="Q14" s="9">
        <f t="shared" si="3"/>
        <v>13601330</v>
      </c>
      <c r="R14" s="9">
        <f t="shared" si="3"/>
        <v>870000</v>
      </c>
      <c r="S14" s="9"/>
      <c r="T14" s="9"/>
      <c r="U14" s="9">
        <f>+SUM(U3:U13)</f>
        <v>6011715</v>
      </c>
    </row>
    <row r="15" spans="1:21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15" customHeight="1">
      <c r="A17" s="30" t="s">
        <v>59</v>
      </c>
      <c r="B17" s="29" t="s">
        <v>33</v>
      </c>
      <c r="C17" s="29"/>
      <c r="D17" s="29"/>
      <c r="E17" s="29"/>
      <c r="F17" s="29" t="s">
        <v>32</v>
      </c>
      <c r="G17" s="29"/>
      <c r="H17" s="29"/>
      <c r="I17" s="29"/>
      <c r="J17" s="29"/>
      <c r="K17" s="29" t="s">
        <v>6</v>
      </c>
      <c r="L17" s="29" t="s">
        <v>64</v>
      </c>
      <c r="M17" s="32" t="s">
        <v>80</v>
      </c>
      <c r="N17" s="32" t="s">
        <v>8</v>
      </c>
      <c r="O17" s="32" t="s">
        <v>9</v>
      </c>
      <c r="P17" s="32" t="s">
        <v>10</v>
      </c>
      <c r="Q17" s="32" t="s">
        <v>11</v>
      </c>
      <c r="R17" s="32" t="s">
        <v>1</v>
      </c>
      <c r="S17" s="32" t="s">
        <v>46</v>
      </c>
      <c r="T17" s="32" t="s">
        <v>2</v>
      </c>
      <c r="U17" s="32" t="s">
        <v>30</v>
      </c>
    </row>
    <row r="18" spans="1:21" ht="33.75">
      <c r="A18" s="30"/>
      <c r="B18" s="29" t="s">
        <v>60</v>
      </c>
      <c r="C18" s="29"/>
      <c r="D18" s="8" t="s">
        <v>62</v>
      </c>
      <c r="E18" s="25" t="s">
        <v>61</v>
      </c>
      <c r="F18" s="29" t="s">
        <v>60</v>
      </c>
      <c r="G18" s="29"/>
      <c r="H18" s="8" t="s">
        <v>62</v>
      </c>
      <c r="I18" s="8" t="s">
        <v>63</v>
      </c>
      <c r="J18" s="8" t="s">
        <v>5</v>
      </c>
      <c r="K18" s="29"/>
      <c r="L18" s="29"/>
      <c r="M18" s="34"/>
      <c r="N18" s="33"/>
      <c r="O18" s="33"/>
      <c r="P18" s="33"/>
      <c r="Q18" s="33"/>
      <c r="R18" s="33"/>
      <c r="S18" s="33"/>
      <c r="T18" s="33"/>
      <c r="U18" s="33"/>
    </row>
    <row r="19" spans="1:21" s="3" customFormat="1" ht="15">
      <c r="A19" s="30"/>
      <c r="B19" s="9">
        <v>80</v>
      </c>
      <c r="C19" s="9">
        <v>115</v>
      </c>
      <c r="D19" s="9">
        <v>40</v>
      </c>
      <c r="E19" s="9">
        <v>40</v>
      </c>
      <c r="F19" s="9">
        <v>80</v>
      </c>
      <c r="G19" s="9">
        <v>115</v>
      </c>
      <c r="H19" s="9">
        <v>40</v>
      </c>
      <c r="I19" s="9">
        <v>40</v>
      </c>
      <c r="J19" s="9">
        <v>500</v>
      </c>
      <c r="K19" s="9">
        <v>80</v>
      </c>
      <c r="L19" s="25">
        <v>500</v>
      </c>
      <c r="M19" s="25">
        <v>1500</v>
      </c>
      <c r="N19" s="34"/>
      <c r="O19" s="34"/>
      <c r="P19" s="34"/>
      <c r="Q19" s="34"/>
      <c r="R19" s="34"/>
      <c r="S19" s="34"/>
      <c r="T19" s="34"/>
      <c r="U19" s="34"/>
    </row>
    <row r="20" spans="1:21" ht="19.5" customHeight="1">
      <c r="A20" s="30"/>
      <c r="B20" s="11"/>
      <c r="C20" s="11"/>
      <c r="D20" s="11"/>
      <c r="E20" s="11"/>
      <c r="F20" s="11">
        <v>60</v>
      </c>
      <c r="G20" s="11"/>
      <c r="H20" s="11"/>
      <c r="I20" s="11"/>
      <c r="J20" s="11"/>
      <c r="K20" s="11"/>
      <c r="L20" s="11"/>
      <c r="M20" s="11"/>
      <c r="N20" s="12">
        <f>+B20*80+C20*115+D20*40+E20*40+F20*80+G20*115+H20*40+I20*40+K20*80+L20*500+M20*1500+J20*J19</f>
        <v>4800</v>
      </c>
      <c r="O20" s="12">
        <f>+'[1]LIVREUR INTERNE ETC'!$U20</f>
        <v>197405</v>
      </c>
      <c r="P20" s="12">
        <v>10400</v>
      </c>
      <c r="Q20" s="12">
        <f>+SUM(N20:P20)</f>
        <v>212605</v>
      </c>
      <c r="R20" s="11">
        <v>21000</v>
      </c>
      <c r="S20" s="12">
        <f>+'[1]LIVREUR INTERNE ETC'!$R20</f>
        <v>0</v>
      </c>
      <c r="T20" s="12"/>
      <c r="U20" s="12">
        <f>+N20+O20-R20</f>
        <v>181205</v>
      </c>
    </row>
    <row r="21" spans="1:21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 ht="15" customHeight="1">
      <c r="A23" s="30" t="s">
        <v>65</v>
      </c>
      <c r="B23" s="35" t="s">
        <v>66</v>
      </c>
      <c r="C23" s="36"/>
      <c r="D23" s="36"/>
      <c r="E23" s="36"/>
      <c r="F23" s="36"/>
      <c r="G23" s="36"/>
      <c r="H23" s="36"/>
      <c r="I23" s="36"/>
      <c r="J23" s="37"/>
      <c r="K23" s="29" t="s">
        <v>62</v>
      </c>
      <c r="L23" s="29" t="s">
        <v>74</v>
      </c>
      <c r="M23" s="26"/>
      <c r="N23" s="32" t="s">
        <v>8</v>
      </c>
      <c r="O23" s="32" t="s">
        <v>9</v>
      </c>
      <c r="P23" s="32" t="s">
        <v>10</v>
      </c>
      <c r="Q23" s="32" t="s">
        <v>11</v>
      </c>
      <c r="R23" s="32" t="s">
        <v>1</v>
      </c>
      <c r="S23" s="32" t="s">
        <v>46</v>
      </c>
      <c r="T23" s="32" t="s">
        <v>2</v>
      </c>
      <c r="U23" s="32" t="s">
        <v>30</v>
      </c>
    </row>
    <row r="24" spans="1:21" ht="15" customHeight="1">
      <c r="A24" s="30"/>
      <c r="B24" s="25" t="s">
        <v>67</v>
      </c>
      <c r="C24" s="25" t="s">
        <v>68</v>
      </c>
      <c r="D24" s="8" t="s">
        <v>69</v>
      </c>
      <c r="E24" s="25" t="s">
        <v>70</v>
      </c>
      <c r="F24" s="25" t="s">
        <v>71</v>
      </c>
      <c r="G24" s="25" t="s">
        <v>72</v>
      </c>
      <c r="H24" s="8" t="s">
        <v>73</v>
      </c>
      <c r="I24" s="8" t="s">
        <v>63</v>
      </c>
      <c r="J24" s="8" t="s">
        <v>5</v>
      </c>
      <c r="K24" s="29"/>
      <c r="L24" s="29"/>
      <c r="M24" s="27"/>
      <c r="N24" s="33"/>
      <c r="O24" s="33"/>
      <c r="P24" s="33"/>
      <c r="Q24" s="33"/>
      <c r="R24" s="33"/>
      <c r="S24" s="33"/>
      <c r="T24" s="33"/>
      <c r="U24" s="33"/>
    </row>
    <row r="25" spans="1:21" s="3" customFormat="1" ht="15">
      <c r="A25" s="30"/>
      <c r="B25" s="9">
        <v>80</v>
      </c>
      <c r="C25" s="9">
        <v>160</v>
      </c>
      <c r="D25" s="9">
        <v>350</v>
      </c>
      <c r="E25" s="9">
        <v>80</v>
      </c>
      <c r="F25" s="9">
        <v>80</v>
      </c>
      <c r="G25" s="9">
        <v>40</v>
      </c>
      <c r="H25" s="9">
        <v>40</v>
      </c>
      <c r="I25" s="9">
        <v>40</v>
      </c>
      <c r="J25" s="9"/>
      <c r="K25" s="9">
        <v>40</v>
      </c>
      <c r="L25" s="25">
        <v>80</v>
      </c>
      <c r="M25" s="28"/>
      <c r="N25" s="34"/>
      <c r="O25" s="34"/>
      <c r="P25" s="34"/>
      <c r="Q25" s="34"/>
      <c r="R25" s="34"/>
      <c r="S25" s="34"/>
      <c r="T25" s="34"/>
      <c r="U25" s="34"/>
    </row>
    <row r="26" spans="1:21" ht="21" customHeight="1">
      <c r="A26" s="30"/>
      <c r="B26" s="11">
        <v>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2">
        <f>+B26*80+C26*160+D26*350+E26*80+F26*80+G26*40+H26*40+I26*40+K26*40+L26*80</f>
        <v>0</v>
      </c>
      <c r="O26" s="12">
        <f>+'[1]LIVREUR INTERNE ETC'!$U26</f>
        <v>6000</v>
      </c>
      <c r="P26" s="12">
        <v>6000</v>
      </c>
      <c r="Q26" s="12">
        <f>+SUM(N26:P26)</f>
        <v>12000</v>
      </c>
      <c r="R26" s="11">
        <v>0</v>
      </c>
      <c r="S26" s="12">
        <f>+'[1]LIVREUR INTERNE ETC'!$R26</f>
        <v>0</v>
      </c>
      <c r="T26" s="12"/>
      <c r="U26" s="12">
        <f>+N26+O26-R26</f>
        <v>6000</v>
      </c>
    </row>
  </sheetData>
  <mergeCells count="39"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  <mergeCell ref="A17:A20"/>
    <mergeCell ref="N17:N19"/>
    <mergeCell ref="K17:K18"/>
    <mergeCell ref="B17:E17"/>
    <mergeCell ref="F17:J17"/>
    <mergeCell ref="F18:G18"/>
    <mergeCell ref="B18:C18"/>
    <mergeCell ref="L17:L18"/>
    <mergeCell ref="M17:M18"/>
    <mergeCell ref="A23:A26"/>
    <mergeCell ref="K23:K24"/>
    <mergeCell ref="L23:L24"/>
    <mergeCell ref="N23:N25"/>
    <mergeCell ref="B23:J23"/>
    <mergeCell ref="O23:O25"/>
    <mergeCell ref="T23:T25"/>
    <mergeCell ref="U23:U25"/>
    <mergeCell ref="S17:S19"/>
    <mergeCell ref="T17:T19"/>
    <mergeCell ref="U17:U19"/>
    <mergeCell ref="P23:P25"/>
    <mergeCell ref="Q23:Q25"/>
    <mergeCell ref="R23:R25"/>
    <mergeCell ref="S23:S25"/>
    <mergeCell ref="O17:O19"/>
    <mergeCell ref="P17:P19"/>
    <mergeCell ref="Q17:Q19"/>
    <mergeCell ref="R17:R1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2026-08-03T10:27:04Z</cp:lastPrinted>
  <dcterms:created xsi:type="dcterms:W3CDTF">2026-07-15T15:57:08Z</dcterms:created>
  <dcterms:modified xsi:type="dcterms:W3CDTF">2026-08-03T10:37:18Z</dcterms:modified>
</cp:coreProperties>
</file>