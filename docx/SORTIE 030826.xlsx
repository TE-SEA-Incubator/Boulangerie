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8800" windowHeight="12315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N4" i="2"/>
  <c r="S10" i="4" l="1"/>
  <c r="O10" i="4"/>
  <c r="U10" i="4" s="1"/>
  <c r="N10" i="4"/>
  <c r="N9" i="4"/>
  <c r="Q10" i="4" l="1"/>
  <c r="K11" i="1"/>
  <c r="K12" i="1"/>
  <c r="K13" i="1"/>
  <c r="K14" i="1"/>
  <c r="K15" i="1"/>
  <c r="K16" i="1"/>
  <c r="K17" i="1"/>
  <c r="K10" i="1"/>
  <c r="K5" i="2"/>
  <c r="K6" i="2"/>
  <c r="K7" i="2"/>
  <c r="K8" i="2"/>
  <c r="K9" i="2"/>
  <c r="K10" i="2"/>
  <c r="K11" i="2"/>
  <c r="K12" i="2"/>
  <c r="K13" i="2"/>
  <c r="K4" i="2"/>
  <c r="O27" i="4"/>
  <c r="O21" i="4"/>
  <c r="O4" i="4"/>
  <c r="O5" i="4"/>
  <c r="O6" i="4"/>
  <c r="O7" i="4"/>
  <c r="O8" i="4"/>
  <c r="O9" i="4"/>
  <c r="O3" i="4"/>
  <c r="O13" i="1"/>
  <c r="O14" i="1"/>
  <c r="O15" i="1"/>
  <c r="O16" i="1"/>
  <c r="O17" i="1"/>
  <c r="O18" i="1"/>
  <c r="O19" i="1"/>
  <c r="O20" i="1"/>
  <c r="O12" i="1"/>
  <c r="O5" i="2"/>
  <c r="O6" i="2"/>
  <c r="O7" i="2"/>
  <c r="O8" i="2"/>
  <c r="O9" i="2"/>
  <c r="O10" i="2"/>
  <c r="O11" i="2"/>
  <c r="O12" i="2"/>
  <c r="O11" i="1" l="1"/>
  <c r="O10" i="1"/>
  <c r="O4" i="2"/>
  <c r="S21" i="4"/>
  <c r="S4" i="4"/>
  <c r="S5" i="4"/>
  <c r="S6" i="4"/>
  <c r="S7" i="4"/>
  <c r="S8" i="4"/>
  <c r="S9" i="4"/>
  <c r="S11" i="4"/>
  <c r="S12" i="4"/>
  <c r="S13" i="4"/>
  <c r="S14" i="4"/>
  <c r="S3" i="4"/>
  <c r="N1" i="2"/>
  <c r="S27" i="4" l="1"/>
  <c r="O13" i="2"/>
  <c r="N21" i="4" l="1"/>
  <c r="J16" i="1" l="1"/>
  <c r="K18" i="1"/>
  <c r="K19" i="1"/>
  <c r="K20" i="1"/>
  <c r="K14" i="2"/>
  <c r="K15" i="2"/>
  <c r="K16" i="2"/>
  <c r="K17" i="2"/>
  <c r="O14" i="2"/>
  <c r="O15" i="2"/>
  <c r="O16" i="2"/>
  <c r="O17" i="2"/>
  <c r="O11" i="4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C15" i="4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B31" i="2" l="1"/>
  <c r="E31" i="2"/>
  <c r="D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<sst xmlns="http://schemas.openxmlformats.org/spreadsheetml/2006/main" count="132" uniqueCount="83">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</sst>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108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18900</v>
          </cell>
        </row>
        <row r="11">
          <cell r="Q11">
            <v>115840</v>
          </cell>
        </row>
        <row r="12">
          <cell r="N12">
            <v>12800</v>
          </cell>
          <cell r="Q12">
            <v>10270</v>
          </cell>
        </row>
        <row r="13">
          <cell r="N13">
            <v>15000</v>
          </cell>
          <cell r="Q13">
            <v>45740</v>
          </cell>
        </row>
        <row r="14">
          <cell r="N14">
            <v>60350</v>
          </cell>
          <cell r="Q14">
            <v>-1389665</v>
          </cell>
        </row>
        <row r="15">
          <cell r="N15">
            <v>23600</v>
          </cell>
          <cell r="Q15">
            <v>-107740</v>
          </cell>
        </row>
        <row r="16">
          <cell r="N16"/>
          <cell r="Q16">
            <v>565560</v>
          </cell>
        </row>
        <row r="17">
          <cell r="N17">
            <v>20000</v>
          </cell>
          <cell r="Q17">
            <v>-10400</v>
          </cell>
        </row>
        <row r="18">
          <cell r="N18"/>
        </row>
        <row r="19">
          <cell r="N19"/>
        </row>
        <row r="20">
          <cell r="N20"/>
        </row>
      </sheetData>
      <sheetData sheetId="1">
        <row r="4">
          <cell r="N4"/>
          <cell r="Q4">
            <v>506325</v>
          </cell>
        </row>
        <row r="5">
          <cell r="N5">
            <v>75000</v>
          </cell>
          <cell r="Q5">
            <v>369840</v>
          </cell>
        </row>
        <row r="6">
          <cell r="N6">
            <v>0</v>
          </cell>
          <cell r="Q6">
            <v>581230</v>
          </cell>
        </row>
        <row r="7">
          <cell r="N7">
            <v>202000</v>
          </cell>
          <cell r="Q7">
            <v>504785</v>
          </cell>
        </row>
        <row r="8">
          <cell r="N8">
            <v>235000</v>
          </cell>
          <cell r="Q8">
            <v>549045</v>
          </cell>
        </row>
        <row r="9">
          <cell r="N9">
            <v>106250</v>
          </cell>
          <cell r="Q9">
            <v>745286</v>
          </cell>
        </row>
        <row r="10">
          <cell r="N10">
            <v>72500</v>
          </cell>
          <cell r="Q10">
            <v>229070</v>
          </cell>
        </row>
        <row r="11">
          <cell r="N11">
            <v>0</v>
          </cell>
          <cell r="Q11">
            <v>355190</v>
          </cell>
        </row>
        <row r="12">
          <cell r="N12">
            <v>42000</v>
          </cell>
          <cell r="Q12">
            <v>-25215</v>
          </cell>
        </row>
        <row r="13">
          <cell r="Q13">
            <v>653880</v>
          </cell>
        </row>
      </sheetData>
      <sheetData sheetId="2">
        <row r="3">
          <cell r="R3">
            <v>201000</v>
          </cell>
          <cell r="U3">
            <v>3293380</v>
          </cell>
        </row>
        <row r="4">
          <cell r="R4">
            <v>0</v>
          </cell>
          <cell r="U4">
            <v>252235</v>
          </cell>
        </row>
        <row r="5">
          <cell r="R5">
            <v>0</v>
          </cell>
          <cell r="U5">
            <v>1573060</v>
          </cell>
        </row>
        <row r="6">
          <cell r="R6">
            <v>395000</v>
          </cell>
          <cell r="U6">
            <v>466565</v>
          </cell>
        </row>
        <row r="7">
          <cell r="R7">
            <v>231000</v>
          </cell>
          <cell r="U7">
            <v>204200</v>
          </cell>
        </row>
        <row r="8">
          <cell r="R8">
            <v>0</v>
          </cell>
          <cell r="U8">
            <v>8115</v>
          </cell>
        </row>
        <row r="9">
          <cell r="R9">
            <v>43000</v>
          </cell>
          <cell r="U9">
            <v>214160</v>
          </cell>
        </row>
        <row r="10">
          <cell r="R10"/>
          <cell r="U10">
            <v>0</v>
          </cell>
        </row>
        <row r="11">
          <cell r="R11"/>
        </row>
        <row r="12">
          <cell r="R12"/>
        </row>
        <row r="13">
          <cell r="R13"/>
        </row>
        <row r="20">
          <cell r="R20">
            <v>21000</v>
          </cell>
          <cell r="U20">
            <v>181205</v>
          </cell>
        </row>
        <row r="26">
          <cell r="U26">
            <v>6000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1">
          <cell r="N11">
            <v>0</v>
          </cell>
        </row>
      </sheetData>
      <sheetData sheetId="1">
        <row r="13">
          <cell r="N13"/>
        </row>
      </sheetData>
      <sheetData sheetId="2">
        <row r="26">
          <cell r="R2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tabSelected="1" workbookViewId="0">
      <selection activeCell="N18" sqref="N18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0" t="s">
        <v>52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29" t="s">
        <v>2</v>
      </c>
      <c r="Q2" s="29" t="s">
        <v>30</v>
      </c>
    </row>
    <row r="3" spans="1:17" ht="15" customHeight="1">
      <c r="A3" s="30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29"/>
      <c r="Q3" s="29"/>
    </row>
    <row r="4" spans="1:17" ht="21" customHeight="1">
      <c r="A4" s="10" t="s">
        <v>53</v>
      </c>
      <c r="B4" s="11"/>
      <c r="C4" s="11">
        <v>40</v>
      </c>
      <c r="D4" s="11"/>
      <c r="E4" s="11"/>
      <c r="F4" s="11"/>
      <c r="G4" s="11"/>
      <c r="H4" s="11"/>
      <c r="I4" s="11"/>
      <c r="J4" s="12">
        <f t="shared" ref="J4:J16" si="0">+B4*40+C4*80+D4*100+E4*160+F4*125+H4*80+I4*100</f>
        <v>3200</v>
      </c>
      <c r="K4" s="12"/>
      <c r="L4" s="12">
        <v>0</v>
      </c>
      <c r="M4" s="12">
        <f t="shared" ref="M4:M15" si="1">+J4+K4+L4</f>
        <v>3200</v>
      </c>
      <c r="N4" s="11"/>
      <c r="O4" s="12"/>
      <c r="P4" s="12"/>
      <c r="Q4" s="12">
        <f t="shared" ref="Q4:Q16" si="2">+J4+K4-N4</f>
        <v>3200</v>
      </c>
    </row>
    <row r="5" spans="1:17" ht="21" customHeight="1">
      <c r="A5" s="10" t="s">
        <v>54</v>
      </c>
      <c r="B5" s="11"/>
      <c r="C5" s="11">
        <v>15</v>
      </c>
      <c r="D5" s="11"/>
      <c r="E5" s="11"/>
      <c r="F5" s="11"/>
      <c r="G5" s="11"/>
      <c r="H5" s="11"/>
      <c r="I5" s="11"/>
      <c r="J5" s="12">
        <f t="shared" si="0"/>
        <v>1200</v>
      </c>
      <c r="K5" s="12"/>
      <c r="L5" s="12">
        <v>0</v>
      </c>
      <c r="M5" s="12">
        <f t="shared" si="1"/>
        <v>1200</v>
      </c>
      <c r="N5" s="11"/>
      <c r="O5" s="12"/>
      <c r="P5" s="12"/>
      <c r="Q5" s="12">
        <f t="shared" si="2"/>
        <v>1200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18900</v>
      </c>
      <c r="L10" s="12">
        <v>0</v>
      </c>
      <c r="M10" s="12">
        <f>+J10+K10+L10</f>
        <v>26900</v>
      </c>
      <c r="N10" s="11">
        <v>8000</v>
      </c>
      <c r="O10" s="12">
        <f>+'[1]AGENCE CARREF'!$N10</f>
        <v>0</v>
      </c>
      <c r="P10" s="12"/>
      <c r="Q10" s="12">
        <f t="shared" si="2"/>
        <v>18900</v>
      </c>
    </row>
    <row r="11" spans="1:17" ht="21" customHeight="1">
      <c r="A11" s="10" t="s">
        <v>25</v>
      </c>
      <c r="B11" s="11"/>
      <c r="C11" s="11">
        <v>160</v>
      </c>
      <c r="D11" s="11"/>
      <c r="E11" s="11"/>
      <c r="F11" s="11"/>
      <c r="G11" s="11"/>
      <c r="H11" s="11"/>
      <c r="I11" s="11"/>
      <c r="J11" s="12">
        <f t="shared" si="0"/>
        <v>12800</v>
      </c>
      <c r="K11" s="12">
        <f>+'[1]AGENCE CARREF'!$Q11</f>
        <v>115840</v>
      </c>
      <c r="L11" s="12">
        <v>0</v>
      </c>
      <c r="M11" s="12">
        <f t="shared" si="1"/>
        <v>128640</v>
      </c>
      <c r="N11" s="11"/>
      <c r="O11" s="12">
        <f>+'[2]AGENCE CARREF'!$N11</f>
        <v>0</v>
      </c>
      <c r="P11" s="12"/>
      <c r="Q11" s="12">
        <f t="shared" si="2"/>
        <v>128640</v>
      </c>
    </row>
    <row r="12" spans="1:17" ht="21" customHeight="1">
      <c r="A12" s="10" t="s">
        <v>49</v>
      </c>
      <c r="B12" s="11"/>
      <c r="C12" s="11">
        <v>130</v>
      </c>
      <c r="D12" s="11"/>
      <c r="E12" s="11">
        <v>42</v>
      </c>
      <c r="F12" s="11"/>
      <c r="G12" s="11"/>
      <c r="H12" s="11"/>
      <c r="I12" s="11"/>
      <c r="J12" s="12">
        <f t="shared" si="0"/>
        <v>17120</v>
      </c>
      <c r="K12" s="12">
        <f>+'[1]AGENCE CARREF'!$Q12</f>
        <v>10270</v>
      </c>
      <c r="L12" s="12">
        <v>1500</v>
      </c>
      <c r="M12" s="12">
        <f>+J12+K12+L12</f>
        <v>28890</v>
      </c>
      <c r="N12" s="11"/>
      <c r="O12" s="12">
        <f>+'[1]AGENCE CARREF'!$N12</f>
        <v>12800</v>
      </c>
      <c r="P12" s="12"/>
      <c r="Q12" s="12">
        <f t="shared" si="2"/>
        <v>27390</v>
      </c>
    </row>
    <row r="13" spans="1:17" ht="21" customHeight="1">
      <c r="A13" s="10" t="s">
        <v>81</v>
      </c>
      <c r="B13" s="11"/>
      <c r="C13" s="11">
        <v>175</v>
      </c>
      <c r="D13" s="11">
        <v>350</v>
      </c>
      <c r="E13" s="11">
        <v>10</v>
      </c>
      <c r="F13" s="11"/>
      <c r="G13" s="11"/>
      <c r="H13" s="11"/>
      <c r="I13" s="11"/>
      <c r="J13" s="12">
        <f t="shared" si="0"/>
        <v>50600</v>
      </c>
      <c r="K13" s="12">
        <f>+'[1]AGENCE CARREF'!$Q13</f>
        <v>45740</v>
      </c>
      <c r="L13" s="12"/>
      <c r="M13" s="12">
        <f>+J13+K13+L13</f>
        <v>96340</v>
      </c>
      <c r="N13" s="11">
        <v>68000</v>
      </c>
      <c r="O13" s="12">
        <f>+'[1]AGENCE CARREF'!$N13</f>
        <v>15000</v>
      </c>
      <c r="P13" s="12"/>
      <c r="Q13" s="12">
        <f t="shared" si="2"/>
        <v>28340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-1389665</v>
      </c>
      <c r="L14" s="12">
        <v>0</v>
      </c>
      <c r="M14" s="12">
        <f t="shared" si="1"/>
        <v>-1389665</v>
      </c>
      <c r="N14" s="11">
        <v>82000</v>
      </c>
      <c r="O14" s="12">
        <f>+'[1]AGENCE CARREF'!$N14</f>
        <v>60350</v>
      </c>
      <c r="P14" s="12"/>
      <c r="Q14" s="12">
        <f t="shared" si="2"/>
        <v>-1471665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-107740</v>
      </c>
      <c r="L15" s="12">
        <v>0</v>
      </c>
      <c r="M15" s="12">
        <f t="shared" si="1"/>
        <v>-107740</v>
      </c>
      <c r="N15" s="11">
        <v>39580</v>
      </c>
      <c r="O15" s="12">
        <f>+'[1]AGENCE CARREF'!$N15</f>
        <v>23600</v>
      </c>
      <c r="P15" s="12"/>
      <c r="Q15" s="12">
        <f t="shared" si="2"/>
        <v>-147320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130</v>
      </c>
      <c r="D17" s="11"/>
      <c r="E17" s="11">
        <v>42</v>
      </c>
      <c r="F17" s="11"/>
      <c r="G17" s="11"/>
      <c r="H17" s="11"/>
      <c r="I17" s="11"/>
      <c r="J17" s="12">
        <f>+B17*40+C17*80+D17*100+E17*160+F17*125+H17*80+I17*100</f>
        <v>17120</v>
      </c>
      <c r="K17" s="12">
        <f>+'[1]AGENCE CARREF'!$Q17</f>
        <v>-10400</v>
      </c>
      <c r="L17" s="12">
        <v>24000</v>
      </c>
      <c r="M17" s="12">
        <f>+J17+K17+L17</f>
        <v>30720</v>
      </c>
      <c r="N17" s="11">
        <v>17100</v>
      </c>
      <c r="O17" s="12">
        <f>+'[1]AGENCE CARREF'!$N17</f>
        <v>20000</v>
      </c>
      <c r="P17" s="12"/>
      <c r="Q17" s="12">
        <f>+J17+K17-N17</f>
        <v>-10380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+'[3]AGENCE CARREF'!$Q18</f>
        <v>0</v>
      </c>
      <c r="L18" s="12">
        <v>10400</v>
      </c>
      <c r="M18" s="12">
        <f>+J18+K18+L18</f>
        <v>10400</v>
      </c>
      <c r="N18" s="11"/>
      <c r="O18" s="12">
        <f>+'[1]AGENCE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+'[3]AGENCE CARREF'!$Q19</f>
        <v>0</v>
      </c>
      <c r="L19" s="12">
        <v>11200</v>
      </c>
      <c r="M19" s="12">
        <f>+J19+K19+L19</f>
        <v>11200</v>
      </c>
      <c r="N19" s="11"/>
      <c r="O19" s="12">
        <f>+'[1]AGENCE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+'[3]AGENCE CARREF'!$Q20</f>
        <v>0</v>
      </c>
      <c r="L20" s="12">
        <v>42100</v>
      </c>
      <c r="M20" s="12">
        <f>+J20+K20+L20</f>
        <v>42100</v>
      </c>
      <c r="N20" s="11"/>
      <c r="O20" s="12">
        <f>+'[1]AGENCE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750</v>
      </c>
      <c r="D21" s="9">
        <f t="shared" si="3"/>
        <v>350</v>
      </c>
      <c r="E21" s="9">
        <f t="shared" si="3"/>
        <v>94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110040</v>
      </c>
      <c r="K21" s="9">
        <f t="shared" si="3"/>
        <v>-751495</v>
      </c>
      <c r="L21" s="9">
        <f t="shared" si="3"/>
        <v>89200</v>
      </c>
      <c r="M21" s="9">
        <f t="shared" si="3"/>
        <v>-1117815</v>
      </c>
      <c r="N21" s="9">
        <f t="shared" si="3"/>
        <v>214680</v>
      </c>
      <c r="O21" s="9">
        <f t="shared" si="3"/>
        <v>131750</v>
      </c>
      <c r="P21" s="9"/>
      <c r="Q21" s="9">
        <f t="shared" si="3"/>
        <v>-856135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0" t="s">
        <v>28</v>
      </c>
      <c r="N1" s="21">
        <f ca="1">+TODAY()</f>
        <v>46238</v>
      </c>
      <c r="O1" s="21"/>
      <c r="P1" s="10"/>
      <c r="Q1" s="10"/>
    </row>
    <row r="2" spans="1:17" s="1" customFormat="1" ht="15">
      <c r="A2" s="30" t="s">
        <v>0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30" t="s">
        <v>2</v>
      </c>
      <c r="Q2" s="30" t="s">
        <v>30</v>
      </c>
    </row>
    <row r="3" spans="1:17" s="1" customFormat="1" ht="22.5">
      <c r="A3" s="30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30"/>
      <c r="Q3" s="30"/>
    </row>
    <row r="4" spans="1:17" ht="24.75" customHeight="1">
      <c r="A4" s="10" t="s">
        <v>12</v>
      </c>
      <c r="B4" s="11"/>
      <c r="C4" s="11">
        <v>300</v>
      </c>
      <c r="D4" s="11">
        <v>425</v>
      </c>
      <c r="E4" s="11">
        <v>17</v>
      </c>
      <c r="F4" s="11"/>
      <c r="G4" s="11"/>
      <c r="H4" s="11"/>
      <c r="I4" s="11">
        <v>5</v>
      </c>
      <c r="J4" s="12">
        <f t="shared" ref="J4:J17" si="0">+B4*40+C4*75+D4*100+E4*160+F4*160+H4*80+I4*100</f>
        <v>68220</v>
      </c>
      <c r="K4" s="12">
        <f>+'[1]LIVREUR EXTERNE'!$Q4</f>
        <v>506325</v>
      </c>
      <c r="L4" s="12">
        <v>2003045</v>
      </c>
      <c r="M4" s="12">
        <f>+SUM(J4:L4)</f>
        <v>2577590</v>
      </c>
      <c r="N4" s="11">
        <f>41600+99500</f>
        <v>141100</v>
      </c>
      <c r="O4" s="12">
        <f>+'[1]LIVREUR EXTERNE'!$N4</f>
        <v>0</v>
      </c>
      <c r="P4" s="10"/>
      <c r="Q4" s="13">
        <f>+J4+K4-N4</f>
        <v>433445</v>
      </c>
    </row>
    <row r="5" spans="1:17" ht="24.75" customHeight="1">
      <c r="A5" s="10" t="s">
        <v>19</v>
      </c>
      <c r="B5" s="11"/>
      <c r="C5" s="11">
        <v>360</v>
      </c>
      <c r="D5" s="11">
        <v>50</v>
      </c>
      <c r="E5" s="11"/>
      <c r="F5" s="11"/>
      <c r="G5" s="11"/>
      <c r="H5" s="11"/>
      <c r="I5" s="11"/>
      <c r="J5" s="12">
        <f t="shared" si="0"/>
        <v>32000</v>
      </c>
      <c r="K5" s="12">
        <f>+'[1]LIVREUR EXTERNE'!$Q5</f>
        <v>369840</v>
      </c>
      <c r="L5" s="12">
        <v>833780</v>
      </c>
      <c r="M5" s="12">
        <f t="shared" ref="M5:M17" si="1">+SUM(J5:L5)</f>
        <v>1235620</v>
      </c>
      <c r="N5" s="11">
        <v>0</v>
      </c>
      <c r="O5" s="12">
        <f>+'[1]LIVREUR EXTERNE'!$N5</f>
        <v>75000</v>
      </c>
      <c r="P5" s="10"/>
      <c r="Q5" s="13">
        <f t="shared" ref="Q5:Q17" si="2">+J5+K5-N5</f>
        <v>401840</v>
      </c>
    </row>
    <row r="6" spans="1:17" ht="24.75" customHeight="1">
      <c r="A6" s="10" t="s">
        <v>26</v>
      </c>
      <c r="B6" s="11"/>
      <c r="C6" s="11">
        <v>1223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142525</v>
      </c>
      <c r="K6" s="12">
        <f>+'[1]LIVREUR EXTERNE'!$Q6</f>
        <v>581230</v>
      </c>
      <c r="L6" s="12">
        <v>1466430</v>
      </c>
      <c r="M6" s="12">
        <f t="shared" si="1"/>
        <v>2190185</v>
      </c>
      <c r="N6" s="11">
        <v>245000</v>
      </c>
      <c r="O6" s="12">
        <f>+'[1]LIVREUR EXTERNE'!$N6</f>
        <v>0</v>
      </c>
      <c r="P6" s="10"/>
      <c r="Q6" s="13">
        <f t="shared" si="2"/>
        <v>478755</v>
      </c>
    </row>
    <row r="7" spans="1:17" ht="24.75" customHeight="1">
      <c r="A7" s="10" t="s">
        <v>15</v>
      </c>
      <c r="B7" s="11"/>
      <c r="C7" s="11">
        <v>870</v>
      </c>
      <c r="D7" s="11">
        <v>560</v>
      </c>
      <c r="E7" s="11">
        <v>5</v>
      </c>
      <c r="F7" s="11"/>
      <c r="G7" s="11"/>
      <c r="H7" s="11"/>
      <c r="I7" s="11"/>
      <c r="J7" s="12">
        <f t="shared" si="0"/>
        <v>122050</v>
      </c>
      <c r="K7" s="12">
        <f>+'[1]LIVREUR EXTERNE'!$Q7</f>
        <v>504785</v>
      </c>
      <c r="L7" s="12">
        <v>1897085</v>
      </c>
      <c r="M7" s="12">
        <f t="shared" si="1"/>
        <v>2523920</v>
      </c>
      <c r="N7" s="11">
        <v>122050</v>
      </c>
      <c r="O7" s="12">
        <f>+'[1]LIVREUR EXTERNE'!$N7</f>
        <v>202000</v>
      </c>
      <c r="P7" s="10"/>
      <c r="Q7" s="13">
        <f t="shared" si="2"/>
        <v>504785</v>
      </c>
    </row>
    <row r="8" spans="1:17" ht="24.75" customHeight="1">
      <c r="A8" s="10" t="s">
        <v>17</v>
      </c>
      <c r="B8" s="11"/>
      <c r="C8" s="11">
        <v>795</v>
      </c>
      <c r="D8" s="11">
        <v>780</v>
      </c>
      <c r="E8" s="11">
        <v>5</v>
      </c>
      <c r="F8" s="11"/>
      <c r="G8" s="11"/>
      <c r="H8" s="11"/>
      <c r="I8" s="11">
        <v>20</v>
      </c>
      <c r="J8" s="12">
        <f t="shared" si="0"/>
        <v>140425</v>
      </c>
      <c r="K8" s="12">
        <f>+'[1]LIVREUR EXTERNE'!$Q8</f>
        <v>549045</v>
      </c>
      <c r="L8" s="12">
        <v>1412040</v>
      </c>
      <c r="M8" s="12">
        <f t="shared" si="1"/>
        <v>2101510</v>
      </c>
      <c r="N8" s="11">
        <v>141500</v>
      </c>
      <c r="O8" s="12">
        <f>+'[1]LIVREUR EXTERNE'!$N8</f>
        <v>235000</v>
      </c>
      <c r="P8" s="10"/>
      <c r="Q8" s="13">
        <f t="shared" si="2"/>
        <v>547970</v>
      </c>
    </row>
    <row r="9" spans="1:17" ht="24.75" customHeight="1">
      <c r="A9" s="10" t="s">
        <v>29</v>
      </c>
      <c r="B9" s="11">
        <v>200</v>
      </c>
      <c r="C9" s="11">
        <v>910</v>
      </c>
      <c r="D9" s="11">
        <v>785</v>
      </c>
      <c r="E9" s="11"/>
      <c r="F9" s="11"/>
      <c r="G9" s="11"/>
      <c r="H9" s="11"/>
      <c r="I9" s="11"/>
      <c r="J9" s="12">
        <f t="shared" si="0"/>
        <v>154750</v>
      </c>
      <c r="K9" s="12">
        <f>+'[1]LIVREUR EXTERNE'!$Q9</f>
        <v>745286</v>
      </c>
      <c r="L9" s="12">
        <v>2175630</v>
      </c>
      <c r="M9" s="12">
        <f t="shared" si="1"/>
        <v>3075666</v>
      </c>
      <c r="N9" s="11">
        <f>90000+64750</f>
        <v>154750</v>
      </c>
      <c r="O9" s="12">
        <f>+'[1]LIVREUR EXTERNE'!$N9</f>
        <v>106250</v>
      </c>
      <c r="P9" s="10"/>
      <c r="Q9" s="13">
        <f t="shared" si="2"/>
        <v>745286</v>
      </c>
    </row>
    <row r="10" spans="1:17" ht="24.75" customHeight="1">
      <c r="A10" s="10" t="s">
        <v>21</v>
      </c>
      <c r="B10" s="11"/>
      <c r="C10" s="11">
        <v>750</v>
      </c>
      <c r="D10" s="11">
        <v>700</v>
      </c>
      <c r="E10" s="11">
        <v>31</v>
      </c>
      <c r="F10" s="11"/>
      <c r="G10" s="11"/>
      <c r="H10" s="11"/>
      <c r="I10" s="11">
        <v>15</v>
      </c>
      <c r="J10" s="12">
        <f t="shared" si="0"/>
        <v>132710</v>
      </c>
      <c r="K10" s="12">
        <f>+'[1]LIVREUR EXTERNE'!$Q10</f>
        <v>229070</v>
      </c>
      <c r="L10" s="12">
        <v>1337940</v>
      </c>
      <c r="M10" s="12">
        <f t="shared" si="1"/>
        <v>1699720</v>
      </c>
      <c r="N10" s="11">
        <v>131250</v>
      </c>
      <c r="O10" s="12">
        <f>+'[1]LIVREUR EXTERNE'!$N10</f>
        <v>72500</v>
      </c>
      <c r="P10" s="10"/>
      <c r="Q10" s="13">
        <f t="shared" si="2"/>
        <v>230530</v>
      </c>
    </row>
    <row r="11" spans="1:17" ht="24.75" customHeight="1">
      <c r="A11" s="10" t="s">
        <v>14</v>
      </c>
      <c r="B11" s="14"/>
      <c r="C11" s="14">
        <v>600</v>
      </c>
      <c r="D11" s="14">
        <v>790</v>
      </c>
      <c r="E11" s="14">
        <v>18</v>
      </c>
      <c r="F11" s="14"/>
      <c r="G11" s="14"/>
      <c r="H11" s="14"/>
      <c r="I11" s="14"/>
      <c r="J11" s="15">
        <f t="shared" si="0"/>
        <v>126880</v>
      </c>
      <c r="K11" s="12">
        <f>+'[1]LIVREUR EXTERNE'!$Q11</f>
        <v>355190</v>
      </c>
      <c r="L11" s="15">
        <v>582810</v>
      </c>
      <c r="M11" s="12">
        <f t="shared" si="1"/>
        <v>1064880</v>
      </c>
      <c r="N11" s="14">
        <v>0</v>
      </c>
      <c r="O11" s="12">
        <f>+'[1]LIVREUR EXTERNE'!$N11</f>
        <v>0</v>
      </c>
      <c r="P11" s="16"/>
      <c r="Q11" s="13">
        <f t="shared" si="2"/>
        <v>482070</v>
      </c>
    </row>
    <row r="12" spans="1:17" ht="24.75" customHeight="1">
      <c r="A12" s="10" t="s">
        <v>75</v>
      </c>
      <c r="B12" s="14"/>
      <c r="C12" s="14">
        <v>130</v>
      </c>
      <c r="D12" s="14">
        <v>302</v>
      </c>
      <c r="E12" s="14">
        <v>27</v>
      </c>
      <c r="F12" s="14"/>
      <c r="G12" s="14"/>
      <c r="H12" s="14"/>
      <c r="I12" s="14"/>
      <c r="J12" s="15">
        <f t="shared" si="0"/>
        <v>44270</v>
      </c>
      <c r="K12" s="12">
        <f>+'[1]LIVREUR EXTERNE'!$Q12</f>
        <v>-25215</v>
      </c>
      <c r="L12" s="15">
        <v>0</v>
      </c>
      <c r="M12" s="12">
        <f t="shared" si="1"/>
        <v>19055</v>
      </c>
      <c r="N12" s="14">
        <v>41150</v>
      </c>
      <c r="O12" s="12">
        <f>+'[1]LIVREUR EXTERNE'!$N12</f>
        <v>42000</v>
      </c>
      <c r="P12" s="16"/>
      <c r="Q12" s="13">
        <f t="shared" si="2"/>
        <v>-22095</v>
      </c>
    </row>
    <row r="13" spans="1:17" ht="24.75" customHeight="1">
      <c r="A13" s="10" t="s">
        <v>76</v>
      </c>
      <c r="B13" s="14"/>
      <c r="C13" s="14">
        <v>1650</v>
      </c>
      <c r="D13" s="14">
        <v>1500</v>
      </c>
      <c r="E13" s="14"/>
      <c r="F13" s="14"/>
      <c r="G13" s="14"/>
      <c r="H13" s="14"/>
      <c r="I13" s="14"/>
      <c r="J13" s="15">
        <f t="shared" si="0"/>
        <v>273750</v>
      </c>
      <c r="K13" s="12">
        <f>+'[1]LIVREUR EXTERNE'!$Q13</f>
        <v>653880</v>
      </c>
      <c r="L13" s="15">
        <v>0</v>
      </c>
      <c r="M13" s="12">
        <f t="shared" si="1"/>
        <v>927630</v>
      </c>
      <c r="N13" s="14">
        <v>750000</v>
      </c>
      <c r="O13" s="12">
        <f>+'[2]LIVREUR EXTERNE'!$N13</f>
        <v>0</v>
      </c>
      <c r="P13" s="16"/>
      <c r="Q13" s="13">
        <f>+J13+K13-N13</f>
        <v>177630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+'[3]LIVREUR EXTERNE'!$Q14</f>
        <v>0</v>
      </c>
      <c r="L14" s="15">
        <v>467850</v>
      </c>
      <c r="M14" s="12">
        <f t="shared" si="1"/>
        <v>467850</v>
      </c>
      <c r="N14" s="14"/>
      <c r="O14" s="12">
        <f>+'[3]LIVREUR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+'[3]LIVREUR EXTERNE'!$Q15</f>
        <v>0</v>
      </c>
      <c r="L15" s="15">
        <v>249900</v>
      </c>
      <c r="M15" s="12">
        <f t="shared" si="1"/>
        <v>249900</v>
      </c>
      <c r="N15" s="14"/>
      <c r="O15" s="12">
        <f>+'[3]LIVREUR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+'[3]LIVREUR EXTERNE'!$Q16</f>
        <v>0</v>
      </c>
      <c r="L16" s="15">
        <v>541770</v>
      </c>
      <c r="M16" s="12">
        <f t="shared" si="1"/>
        <v>541770</v>
      </c>
      <c r="N16" s="14"/>
      <c r="O16" s="12">
        <f>+'[3]LIVREUR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+'[3]LIVREUR EXTERNE'!$Q17</f>
        <v>0</v>
      </c>
      <c r="L17" s="15">
        <v>499585</v>
      </c>
      <c r="M17" s="12">
        <f t="shared" si="1"/>
        <v>499585</v>
      </c>
      <c r="N17" s="14"/>
      <c r="O17" s="12">
        <f>+'[3]LIVREUR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200</v>
      </c>
      <c r="C18" s="9">
        <f t="shared" ref="C18:N18" si="3">+SUM(C4:C17)</f>
        <v>7588</v>
      </c>
      <c r="D18" s="9">
        <f t="shared" si="3"/>
        <v>6392</v>
      </c>
      <c r="E18" s="9">
        <f>+SUM(E4:E17)</f>
        <v>108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40</v>
      </c>
      <c r="J18" s="9">
        <f t="shared" si="3"/>
        <v>1237580</v>
      </c>
      <c r="K18" s="9">
        <f>+SUM(K4:K17)</f>
        <v>4469436</v>
      </c>
      <c r="L18" s="9">
        <f>+SUM(L4:L17)</f>
        <v>13467865</v>
      </c>
      <c r="M18" s="9">
        <f t="shared" si="3"/>
        <v>19174881</v>
      </c>
      <c r="N18" s="9">
        <f t="shared" si="3"/>
        <v>1726800</v>
      </c>
      <c r="O18" s="9"/>
      <c r="P18" s="18"/>
      <c r="Q18" s="19">
        <f>+SUM(Q4:Q17)</f>
        <v>3980216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600</v>
      </c>
      <c r="C31" s="22">
        <f>+C18+'AGENCE CARREF'!C21+'LIVREUR INTERNE ETC'!C15+'LIVREUR INTERNE ETC'!B21</f>
        <v>14288</v>
      </c>
      <c r="D31" s="22">
        <f>+D18+'AGENCE CARREF'!D21+'LIVREUR INTERNE ETC'!D15</f>
        <v>6777</v>
      </c>
      <c r="E31" s="22">
        <f>+E18+'AGENCE CARREF'!E21+'LIVREUR INTERNE ETC'!E15</f>
        <v>547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R27" sqref="R27"/>
    </sheetView>
  </sheetViews>
  <sheetFormatPr baseColWidth="10" defaultRowHeight="14.25"/>
  <cols>
    <col min="1" max="1" width="12.7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0" t="s">
        <v>0</v>
      </c>
      <c r="B1" s="29" t="s">
        <v>33</v>
      </c>
      <c r="C1" s="29"/>
      <c r="D1" s="29"/>
      <c r="E1" s="29"/>
      <c r="F1" s="29" t="s">
        <v>32</v>
      </c>
      <c r="G1" s="29"/>
      <c r="H1" s="29"/>
      <c r="I1" s="29"/>
      <c r="J1" s="29"/>
      <c r="K1" s="8" t="s">
        <v>6</v>
      </c>
      <c r="L1" s="8" t="s">
        <v>31</v>
      </c>
      <c r="M1" s="8"/>
      <c r="N1" s="29" t="s">
        <v>8</v>
      </c>
      <c r="O1" s="29" t="s">
        <v>9</v>
      </c>
      <c r="P1" s="29" t="s">
        <v>10</v>
      </c>
      <c r="Q1" s="29" t="s">
        <v>11</v>
      </c>
      <c r="R1" s="29" t="s">
        <v>1</v>
      </c>
      <c r="S1" s="29" t="s">
        <v>46</v>
      </c>
      <c r="T1" s="29" t="s">
        <v>2</v>
      </c>
      <c r="U1" s="29" t="s">
        <v>30</v>
      </c>
    </row>
    <row r="2" spans="1:21" s="4" customFormat="1" ht="33.75">
      <c r="A2" s="30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29"/>
      <c r="O2" s="29"/>
      <c r="P2" s="29"/>
      <c r="Q2" s="29"/>
      <c r="R2" s="29"/>
      <c r="S2" s="29"/>
      <c r="T2" s="29"/>
      <c r="U2" s="29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+'[1]LIVREUR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+'[1]LIVREUR INTERNE ETC'!$R3</f>
        <v>201000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>
        <v>40</v>
      </c>
      <c r="D4" s="11">
        <v>25</v>
      </c>
      <c r="E4" s="11"/>
      <c r="F4" s="11"/>
      <c r="G4" s="11"/>
      <c r="H4" s="11"/>
      <c r="I4" s="11"/>
      <c r="J4" s="11"/>
      <c r="K4" s="11"/>
      <c r="L4" s="11"/>
      <c r="M4" s="11"/>
      <c r="N4" s="12">
        <f t="shared" si="0"/>
        <v>5700</v>
      </c>
      <c r="O4" s="12">
        <f>+'[1]LIVREUR INTERNE ETC'!$U4</f>
        <v>252235</v>
      </c>
      <c r="P4" s="12">
        <v>476485</v>
      </c>
      <c r="Q4" s="12">
        <f t="shared" si="1"/>
        <v>734420</v>
      </c>
      <c r="R4" s="11"/>
      <c r="S4" s="12">
        <f>+'[1]LIVREUR INTERNE ETC'!$R4</f>
        <v>0</v>
      </c>
      <c r="T4" s="12"/>
      <c r="U4" s="12">
        <f t="shared" si="2"/>
        <v>257935</v>
      </c>
    </row>
    <row r="5" spans="1:21" ht="22.5" customHeight="1">
      <c r="A5" s="10" t="s">
        <v>37</v>
      </c>
      <c r="B5" s="11"/>
      <c r="C5" s="11">
        <v>465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37200</v>
      </c>
      <c r="O5" s="12">
        <f>+'[1]LIVREUR INTERNE ETC'!$U5</f>
        <v>1573060</v>
      </c>
      <c r="P5" s="12">
        <v>91600</v>
      </c>
      <c r="Q5" s="12">
        <f t="shared" si="1"/>
        <v>1701860</v>
      </c>
      <c r="R5" s="11">
        <v>44000</v>
      </c>
      <c r="S5" s="12">
        <f>+'[1]LIVREUR INTERNE ETC'!$R5</f>
        <v>0</v>
      </c>
      <c r="T5" s="12"/>
      <c r="U5" s="12">
        <f t="shared" si="2"/>
        <v>1566260</v>
      </c>
    </row>
    <row r="6" spans="1:21" ht="22.5" customHeight="1">
      <c r="A6" s="10" t="s">
        <v>39</v>
      </c>
      <c r="B6" s="11">
        <v>300</v>
      </c>
      <c r="C6" s="11">
        <v>1505</v>
      </c>
      <c r="D6" s="11"/>
      <c r="E6" s="11">
        <v>115</v>
      </c>
      <c r="F6" s="11"/>
      <c r="G6" s="11">
        <v>1370</v>
      </c>
      <c r="H6" s="11"/>
      <c r="I6" s="11">
        <v>25</v>
      </c>
      <c r="J6" s="11"/>
      <c r="K6" s="11"/>
      <c r="L6" s="11"/>
      <c r="M6" s="11"/>
      <c r="N6" s="12">
        <f t="shared" si="0"/>
        <v>264400</v>
      </c>
      <c r="O6" s="12">
        <f>+'[1]LIVREUR INTERNE ETC'!$U6</f>
        <v>466565</v>
      </c>
      <c r="P6" s="12">
        <v>785440</v>
      </c>
      <c r="Q6" s="12">
        <f t="shared" si="1"/>
        <v>1516405</v>
      </c>
      <c r="R6" s="11">
        <v>0</v>
      </c>
      <c r="S6" s="12">
        <f>+'[1]LIVREUR INTERNE ETC'!$R6</f>
        <v>395000</v>
      </c>
      <c r="T6" s="12"/>
      <c r="U6" s="12">
        <f t="shared" si="2"/>
        <v>730965</v>
      </c>
    </row>
    <row r="7" spans="1:21" ht="22.5" customHeight="1">
      <c r="A7" s="10" t="s">
        <v>35</v>
      </c>
      <c r="B7" s="11">
        <v>100</v>
      </c>
      <c r="C7" s="11">
        <v>1360</v>
      </c>
      <c r="D7" s="11"/>
      <c r="E7" s="11"/>
      <c r="F7" s="11">
        <v>260</v>
      </c>
      <c r="G7" s="11">
        <v>900</v>
      </c>
      <c r="H7" s="11"/>
      <c r="I7" s="11"/>
      <c r="J7" s="11"/>
      <c r="K7" s="11"/>
      <c r="L7" s="11"/>
      <c r="M7" s="11"/>
      <c r="N7" s="12">
        <f t="shared" si="0"/>
        <v>195200</v>
      </c>
      <c r="O7" s="12">
        <f>+'[1]LIVREUR INTERNE ETC'!$U7</f>
        <v>204200</v>
      </c>
      <c r="P7" s="12">
        <v>20920</v>
      </c>
      <c r="Q7" s="12">
        <f t="shared" si="1"/>
        <v>420320</v>
      </c>
      <c r="R7" s="11">
        <v>308800</v>
      </c>
      <c r="S7" s="12">
        <f>+'[1]LIVREUR INTERNE ETC'!$R7</f>
        <v>231000</v>
      </c>
      <c r="T7" s="12"/>
      <c r="U7" s="12">
        <f t="shared" si="2"/>
        <v>90600</v>
      </c>
    </row>
    <row r="8" spans="1:21" ht="22.5" customHeight="1">
      <c r="A8" s="10" t="s">
        <v>45</v>
      </c>
      <c r="B8" s="11"/>
      <c r="C8" s="11">
        <v>450</v>
      </c>
      <c r="D8" s="23">
        <v>10</v>
      </c>
      <c r="E8" s="11"/>
      <c r="F8" s="11"/>
      <c r="G8" s="11">
        <v>360</v>
      </c>
      <c r="H8" s="11"/>
      <c r="I8" s="11"/>
      <c r="J8" s="11"/>
      <c r="K8" s="11"/>
      <c r="L8" s="11">
        <v>5</v>
      </c>
      <c r="M8" s="11"/>
      <c r="N8" s="12">
        <f t="shared" si="0"/>
        <v>66300</v>
      </c>
      <c r="O8" s="12">
        <f>+'[1]LIVREUR INTERNE ETC'!$U8</f>
        <v>8115</v>
      </c>
      <c r="P8" s="12">
        <v>0</v>
      </c>
      <c r="Q8" s="12">
        <f t="shared" si="1"/>
        <v>74415</v>
      </c>
      <c r="R8" s="11">
        <v>60500</v>
      </c>
      <c r="S8" s="12">
        <f>+'[1]LIVREUR INTERNE ETC'!$R8</f>
        <v>0</v>
      </c>
      <c r="T8" s="12"/>
      <c r="U8" s="12">
        <f t="shared" si="2"/>
        <v>13915</v>
      </c>
    </row>
    <row r="9" spans="1:21" ht="22.5" customHeight="1">
      <c r="A9" s="10" t="s">
        <v>41</v>
      </c>
      <c r="B9" s="11"/>
      <c r="C9" s="11">
        <v>320</v>
      </c>
      <c r="D9" s="11"/>
      <c r="E9" s="11">
        <v>25</v>
      </c>
      <c r="F9" s="11"/>
      <c r="G9" s="11">
        <v>100</v>
      </c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37600</v>
      </c>
      <c r="O9" s="12">
        <f>+'[1]LIVREUR INTERNE ETC'!$U9</f>
        <v>214160</v>
      </c>
      <c r="P9" s="12">
        <v>0</v>
      </c>
      <c r="Q9" s="12">
        <f t="shared" si="1"/>
        <v>251760</v>
      </c>
      <c r="R9" s="11">
        <v>44000</v>
      </c>
      <c r="S9" s="12">
        <f>+'[1]LIVREUR INTERNE ETC'!$R9</f>
        <v>43000</v>
      </c>
      <c r="T9" s="12"/>
      <c r="U9" s="12">
        <f t="shared" si="2"/>
        <v>207760</v>
      </c>
    </row>
    <row r="10" spans="1:21" ht="22.5" customHeight="1">
      <c r="A10" s="10" t="s">
        <v>82</v>
      </c>
      <c r="B10" s="11"/>
      <c r="C10" s="11">
        <v>1725</v>
      </c>
      <c r="D10" s="11"/>
      <c r="E10" s="11">
        <v>205</v>
      </c>
      <c r="F10" s="11"/>
      <c r="G10" s="11">
        <v>625</v>
      </c>
      <c r="H10" s="11"/>
      <c r="I10" s="11"/>
      <c r="J10" s="11"/>
      <c r="K10" s="11"/>
      <c r="L10" s="11"/>
      <c r="M10" s="11"/>
      <c r="N10" s="12">
        <f t="shared" si="3"/>
        <v>220800</v>
      </c>
      <c r="O10" s="12">
        <f>+'[1]LIVREUR INTERNE ETC'!$U10</f>
        <v>0</v>
      </c>
      <c r="P10" s="12"/>
      <c r="Q10" s="12">
        <f t="shared" si="1"/>
        <v>220800</v>
      </c>
      <c r="R10" s="11">
        <v>46000</v>
      </c>
      <c r="S10" s="12">
        <f>+'[1]LIVREUR INTERNE ETC'!$R10</f>
        <v>0</v>
      </c>
      <c r="T10" s="12"/>
      <c r="U10" s="12">
        <f t="shared" si="2"/>
        <v>174800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+'[3]LIVREUR INTERNE ETC'!$U10</f>
        <v>0</v>
      </c>
      <c r="P11" s="12">
        <v>1785760</v>
      </c>
      <c r="Q11" s="12">
        <f t="shared" si="1"/>
        <v>1785760</v>
      </c>
      <c r="R11" s="11"/>
      <c r="S11" s="12">
        <f>+'[1]LIVREUR INTERNE ETC'!$R10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+'[3]LIVREUR INTERNE ETC'!$U11</f>
        <v>0</v>
      </c>
      <c r="P12" s="12">
        <v>1912780</v>
      </c>
      <c r="Q12" s="12">
        <f t="shared" si="1"/>
        <v>1912780</v>
      </c>
      <c r="R12" s="11"/>
      <c r="S12" s="12">
        <f>+'[1]LIVREUR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+'[3]LIVREUR INTERNE ETC'!$U12</f>
        <v>0</v>
      </c>
      <c r="P13" s="12">
        <v>539260</v>
      </c>
      <c r="Q13" s="12">
        <f t="shared" si="1"/>
        <v>539260</v>
      </c>
      <c r="R13" s="11"/>
      <c r="S13" s="12">
        <f>+'[1]LIVREUR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+'[3]LIVREUR INTERNE ETC'!$U13</f>
        <v>0</v>
      </c>
      <c r="P14" s="12">
        <v>811420</v>
      </c>
      <c r="Q14" s="12">
        <f t="shared" si="1"/>
        <v>811420</v>
      </c>
      <c r="R14" s="11"/>
      <c r="S14" s="12">
        <f>+'[1]LIVREUR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400</v>
      </c>
      <c r="C15" s="9">
        <f t="shared" si="4"/>
        <v>5865</v>
      </c>
      <c r="D15" s="9">
        <f t="shared" si="4"/>
        <v>35</v>
      </c>
      <c r="E15" s="9">
        <f t="shared" si="4"/>
        <v>345</v>
      </c>
      <c r="F15" s="9">
        <f t="shared" si="4"/>
        <v>260</v>
      </c>
      <c r="G15" s="9">
        <f t="shared" si="4"/>
        <v>3355</v>
      </c>
      <c r="H15" s="9">
        <f t="shared" si="4"/>
        <v>0</v>
      </c>
      <c r="I15" s="9">
        <f t="shared" si="4"/>
        <v>25</v>
      </c>
      <c r="J15" s="9">
        <f t="shared" si="4"/>
        <v>0</v>
      </c>
      <c r="K15" s="9">
        <f t="shared" si="4"/>
        <v>0</v>
      </c>
      <c r="L15" s="9">
        <f t="shared" si="4"/>
        <v>5</v>
      </c>
      <c r="M15" s="9"/>
      <c r="N15" s="9">
        <f t="shared" si="4"/>
        <v>827200</v>
      </c>
      <c r="O15" s="9">
        <f t="shared" si="4"/>
        <v>6011715</v>
      </c>
      <c r="P15" s="9">
        <f t="shared" si="4"/>
        <v>6719615</v>
      </c>
      <c r="Q15" s="9">
        <f t="shared" si="4"/>
        <v>13558530</v>
      </c>
      <c r="R15" s="9">
        <f t="shared" si="4"/>
        <v>503300</v>
      </c>
      <c r="S15" s="9"/>
      <c r="T15" s="9"/>
      <c r="U15" s="9">
        <f>+SUM(U3:U14)</f>
        <v>6335615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0" t="s">
        <v>59</v>
      </c>
      <c r="B18" s="29" t="s">
        <v>33</v>
      </c>
      <c r="C18" s="29"/>
      <c r="D18" s="29"/>
      <c r="E18" s="29"/>
      <c r="F18" s="29" t="s">
        <v>32</v>
      </c>
      <c r="G18" s="29"/>
      <c r="H18" s="29"/>
      <c r="I18" s="29"/>
      <c r="J18" s="29"/>
      <c r="K18" s="29" t="s">
        <v>6</v>
      </c>
      <c r="L18" s="29" t="s">
        <v>64</v>
      </c>
      <c r="M18" s="32" t="s">
        <v>80</v>
      </c>
      <c r="N18" s="32" t="s">
        <v>8</v>
      </c>
      <c r="O18" s="32" t="s">
        <v>9</v>
      </c>
      <c r="P18" s="32" t="s">
        <v>10</v>
      </c>
      <c r="Q18" s="32" t="s">
        <v>11</v>
      </c>
      <c r="R18" s="32" t="s">
        <v>1</v>
      </c>
      <c r="S18" s="32" t="s">
        <v>46</v>
      </c>
      <c r="T18" s="32" t="s">
        <v>2</v>
      </c>
      <c r="U18" s="32" t="s">
        <v>30</v>
      </c>
    </row>
    <row r="19" spans="1:21" ht="33.75">
      <c r="A19" s="30"/>
      <c r="B19" s="29" t="s">
        <v>60</v>
      </c>
      <c r="C19" s="29"/>
      <c r="D19" s="8" t="s">
        <v>62</v>
      </c>
      <c r="E19" s="25" t="s">
        <v>61</v>
      </c>
      <c r="F19" s="29" t="s">
        <v>60</v>
      </c>
      <c r="G19" s="29"/>
      <c r="H19" s="8" t="s">
        <v>62</v>
      </c>
      <c r="I19" s="8" t="s">
        <v>63</v>
      </c>
      <c r="J19" s="8" t="s">
        <v>5</v>
      </c>
      <c r="K19" s="29"/>
      <c r="L19" s="29"/>
      <c r="M19" s="34"/>
      <c r="N19" s="33"/>
      <c r="O19" s="33"/>
      <c r="P19" s="33"/>
      <c r="Q19" s="33"/>
      <c r="R19" s="33"/>
      <c r="S19" s="33"/>
      <c r="T19" s="33"/>
      <c r="U19" s="33"/>
    </row>
    <row r="20" spans="1:21" s="3" customFormat="1" ht="15">
      <c r="A20" s="30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4"/>
      <c r="O20" s="34"/>
      <c r="P20" s="34"/>
      <c r="Q20" s="34"/>
      <c r="R20" s="34"/>
      <c r="S20" s="34"/>
      <c r="T20" s="34"/>
      <c r="U20" s="34"/>
    </row>
    <row r="21" spans="1:21" ht="19.5" customHeight="1">
      <c r="A21" s="30"/>
      <c r="B21" s="11">
        <v>85</v>
      </c>
      <c r="C21" s="11"/>
      <c r="D21" s="11">
        <v>175</v>
      </c>
      <c r="E21" s="11">
        <v>150</v>
      </c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19800</v>
      </c>
      <c r="O21" s="12">
        <f>+'[1]LIVREUR INTERNE ETC'!$U20</f>
        <v>181205</v>
      </c>
      <c r="P21" s="12">
        <v>10400</v>
      </c>
      <c r="Q21" s="12">
        <f>+SUM(N21:P21)</f>
        <v>211405</v>
      </c>
      <c r="R21" s="11">
        <v>19800</v>
      </c>
      <c r="S21" s="12">
        <f>+'[1]LIVREUR INTERNE ETC'!$R20</f>
        <v>21000</v>
      </c>
      <c r="T21" s="12"/>
      <c r="U21" s="12">
        <f>+N21+O21-R21</f>
        <v>181205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0" t="s">
        <v>65</v>
      </c>
      <c r="B24" s="35" t="s">
        <v>66</v>
      </c>
      <c r="C24" s="36"/>
      <c r="D24" s="36"/>
      <c r="E24" s="36"/>
      <c r="F24" s="36"/>
      <c r="G24" s="36"/>
      <c r="H24" s="36"/>
      <c r="I24" s="36"/>
      <c r="J24" s="37"/>
      <c r="K24" s="29" t="s">
        <v>62</v>
      </c>
      <c r="L24" s="29" t="s">
        <v>74</v>
      </c>
      <c r="M24" s="26"/>
      <c r="N24" s="32" t="s">
        <v>8</v>
      </c>
      <c r="O24" s="32" t="s">
        <v>9</v>
      </c>
      <c r="P24" s="32" t="s">
        <v>10</v>
      </c>
      <c r="Q24" s="32" t="s">
        <v>11</v>
      </c>
      <c r="R24" s="32" t="s">
        <v>1</v>
      </c>
      <c r="S24" s="32" t="s">
        <v>46</v>
      </c>
      <c r="T24" s="32" t="s">
        <v>2</v>
      </c>
      <c r="U24" s="32" t="s">
        <v>30</v>
      </c>
    </row>
    <row r="25" spans="1:21" ht="15" customHeight="1">
      <c r="A25" s="30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29"/>
      <c r="L25" s="29"/>
      <c r="M25" s="27"/>
      <c r="N25" s="33"/>
      <c r="O25" s="33"/>
      <c r="P25" s="33"/>
      <c r="Q25" s="33"/>
      <c r="R25" s="33"/>
      <c r="S25" s="33"/>
      <c r="T25" s="33"/>
      <c r="U25" s="33"/>
    </row>
    <row r="26" spans="1:21" s="3" customFormat="1" ht="15">
      <c r="A26" s="30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4"/>
      <c r="O26" s="34"/>
      <c r="P26" s="34"/>
      <c r="Q26" s="34"/>
      <c r="R26" s="34"/>
      <c r="S26" s="34"/>
      <c r="T26" s="34"/>
      <c r="U26" s="34"/>
    </row>
    <row r="27" spans="1:21" ht="21" customHeight="1">
      <c r="A27" s="30"/>
      <c r="B27" s="11">
        <v>0</v>
      </c>
      <c r="C27" s="11"/>
      <c r="D27" s="11"/>
      <c r="E27" s="11"/>
      <c r="F27" s="11"/>
      <c r="G27" s="11">
        <v>100</v>
      </c>
      <c r="H27" s="11"/>
      <c r="I27" s="11"/>
      <c r="J27" s="11"/>
      <c r="K27" s="11">
        <v>150</v>
      </c>
      <c r="L27" s="11"/>
      <c r="M27" s="11"/>
      <c r="N27" s="12">
        <f>+B27*80+C27*160+D27*350+E27*80+F27*80+G27*40+H27*40+I27*40+K27*40+L27*80</f>
        <v>10000</v>
      </c>
      <c r="O27" s="12">
        <f>+'[1]LIVREUR INTERNE ETC'!$U26</f>
        <v>6000</v>
      </c>
      <c r="P27" s="12">
        <v>6000</v>
      </c>
      <c r="Q27" s="12">
        <f>+SUM(N27:P27)</f>
        <v>22000</v>
      </c>
      <c r="R27" s="11">
        <v>0</v>
      </c>
      <c r="S27" s="12">
        <f>+'[2]LIVREUR INTERNE ETC'!$R26</f>
        <v>0</v>
      </c>
      <c r="T27" s="12"/>
      <c r="U27" s="12">
        <f>+N27+O27-R27</f>
        <v>16000</v>
      </c>
    </row>
  </sheetData>
  <mergeCells count="39"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  <mergeCell ref="A24:A27"/>
    <mergeCell ref="K24:K25"/>
    <mergeCell ref="L24:L25"/>
    <mergeCell ref="N24:N26"/>
    <mergeCell ref="B24:J24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2026-08-03T10:47:23Z</cp:lastPrinted>
  <dcterms:created xsi:type="dcterms:W3CDTF">2026-07-15T15:57:08Z</dcterms:created>
  <dcterms:modified xsi:type="dcterms:W3CDTF">2026-08-04T16:32:30Z</dcterms:modified>
</cp:coreProperties>
</file>