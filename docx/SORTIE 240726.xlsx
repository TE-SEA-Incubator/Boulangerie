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7AD900D5-DAA7-4FAC-A9EC-F25319EC1FB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4" l="1"/>
  <c r="M20" i="4"/>
  <c r="N26" i="4"/>
  <c r="O11" i="1"/>
  <c r="O12" i="1"/>
  <c r="O13" i="1"/>
  <c r="O14" i="1"/>
  <c r="O15" i="1"/>
  <c r="O16" i="1"/>
  <c r="O17" i="1"/>
  <c r="O18" i="1"/>
  <c r="O19" i="1"/>
  <c r="O10" i="1"/>
  <c r="K11" i="1"/>
  <c r="K12" i="1"/>
  <c r="K13" i="1"/>
  <c r="K14" i="1"/>
  <c r="K15" i="1"/>
  <c r="K16" i="1"/>
  <c r="K17" i="1"/>
  <c r="K18" i="1"/>
  <c r="K19" i="1"/>
  <c r="K10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R26" i="4"/>
  <c r="R20" i="4"/>
  <c r="R4" i="4"/>
  <c r="R5" i="4"/>
  <c r="R6" i="4"/>
  <c r="R7" i="4"/>
  <c r="R8" i="4"/>
  <c r="R9" i="4"/>
  <c r="R10" i="4"/>
  <c r="R11" i="4"/>
  <c r="R12" i="4"/>
  <c r="R13" i="4"/>
  <c r="R3" i="4"/>
  <c r="N20" i="4"/>
  <c r="N4" i="4"/>
  <c r="N5" i="4"/>
  <c r="N6" i="4"/>
  <c r="N7" i="4"/>
  <c r="N8" i="4"/>
  <c r="N9" i="4"/>
  <c r="N10" i="4"/>
  <c r="N11" i="4"/>
  <c r="N12" i="4"/>
  <c r="N13" i="4"/>
  <c r="N3" i="4"/>
  <c r="J15" i="1"/>
  <c r="M10" i="4"/>
  <c r="Q15" i="1" l="1"/>
  <c r="N1" i="2"/>
  <c r="M8" i="4"/>
  <c r="M4" i="4"/>
  <c r="J13" i="2"/>
  <c r="M13" i="2" s="1"/>
  <c r="J12" i="2"/>
  <c r="M12" i="2" s="1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9" i="4"/>
  <c r="M3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B18" i="2"/>
  <c r="L18" i="2"/>
  <c r="J6" i="2"/>
  <c r="M6" i="2" s="1"/>
  <c r="J7" i="2"/>
  <c r="M7" i="2" s="1"/>
  <c r="J16" i="2"/>
  <c r="M16" i="2" s="1"/>
  <c r="N18" i="2"/>
  <c r="C18" i="2"/>
  <c r="D18" i="2"/>
  <c r="E18" i="2"/>
  <c r="F18" i="2"/>
  <c r="G18" i="2"/>
  <c r="H18" i="2"/>
  <c r="I18" i="2"/>
  <c r="J9" i="2"/>
  <c r="M9" i="2" s="1"/>
  <c r="J15" i="2"/>
  <c r="M15" i="2" s="1"/>
  <c r="J11" i="2"/>
  <c r="M11" i="2" s="1"/>
  <c r="J8" i="2"/>
  <c r="M8" i="2" s="1"/>
  <c r="J17" i="2"/>
  <c r="M17" i="2" s="1"/>
  <c r="J5" i="2"/>
  <c r="M5" i="2" s="1"/>
  <c r="J14" i="2"/>
  <c r="M14" i="2" s="1"/>
  <c r="J10" i="2"/>
  <c r="M10" i="2" s="1"/>
  <c r="J4" i="2"/>
  <c r="Q13" i="2" l="1"/>
  <c r="J20" i="1"/>
  <c r="M14" i="4"/>
  <c r="O20" i="1"/>
  <c r="M6" i="1"/>
  <c r="Q6" i="1"/>
  <c r="M8" i="1"/>
  <c r="Q8" i="1"/>
  <c r="J18" i="2"/>
  <c r="M5" i="1" l="1"/>
  <c r="Q5" i="1"/>
  <c r="Q4" i="1"/>
  <c r="M4" i="1"/>
  <c r="Q7" i="1"/>
  <c r="M7" i="1"/>
  <c r="Q12" i="2"/>
  <c r="Q6" i="2" l="1"/>
  <c r="M10" i="1"/>
  <c r="Q10" i="1"/>
  <c r="M18" i="1"/>
  <c r="Q18" i="1"/>
  <c r="Q7" i="2"/>
  <c r="Q12" i="1"/>
  <c r="M12" i="1"/>
  <c r="Q15" i="2"/>
  <c r="M9" i="1"/>
  <c r="Q9" i="1"/>
  <c r="M11" i="1"/>
  <c r="Q11" i="1"/>
  <c r="M16" i="1"/>
  <c r="Q16" i="1"/>
  <c r="Q10" i="2"/>
  <c r="P20" i="4"/>
  <c r="T20" i="4"/>
  <c r="P26" i="4"/>
  <c r="T26" i="4"/>
  <c r="Q19" i="1"/>
  <c r="M19" i="1"/>
  <c r="Q8" i="2"/>
  <c r="Q11" i="2"/>
  <c r="Q17" i="2"/>
  <c r="Q9" i="2"/>
  <c r="Q17" i="1"/>
  <c r="M17" i="1"/>
  <c r="Q14" i="2"/>
  <c r="Q5" i="2"/>
  <c r="Q16" i="2"/>
  <c r="M4" i="2"/>
  <c r="K18" i="2"/>
  <c r="Q4" i="2"/>
  <c r="P7" i="4"/>
  <c r="T7" i="4"/>
  <c r="P11" i="4"/>
  <c r="T11" i="4"/>
  <c r="P4" i="4"/>
  <c r="T4" i="4"/>
  <c r="T3" i="4"/>
  <c r="P3" i="4"/>
  <c r="N14" i="4"/>
  <c r="T10" i="4"/>
  <c r="P10" i="4"/>
  <c r="T13" i="4"/>
  <c r="P13" i="4"/>
  <c r="P9" i="4"/>
  <c r="T9" i="4"/>
  <c r="T8" i="4"/>
  <c r="P8" i="4"/>
  <c r="T5" i="4"/>
  <c r="P5" i="4"/>
  <c r="T12" i="4"/>
  <c r="P12" i="4"/>
  <c r="T6" i="4"/>
  <c r="P6" i="4"/>
  <c r="K20" i="1"/>
  <c r="M14" i="1" l="1"/>
  <c r="Q14" i="1"/>
  <c r="M18" i="2"/>
  <c r="Q13" i="1"/>
  <c r="M13" i="1"/>
  <c r="Q18" i="2"/>
  <c r="P14" i="4"/>
  <c r="T14" i="4"/>
  <c r="M20" i="1" l="1"/>
  <c r="Q20" i="1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<sst xmlns="http://schemas.openxmlformats.org/spreadsheetml/2006/main" count="129" uniqueCount="80">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</sst>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EXPLOITATION%20boulangerie%20et%20patisserie%202025\SUIVIE%20DISTRIBUTION%20MENSUEL\SORTIE%20230726.xlsx" TargetMode="External"/><Relationship Id="rId1" Type="http://schemas.openxmlformats.org/officeDocument/2006/relationships/externalLinkPath" Target="SORTIE%2023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E CARREF"/>
      <sheetName val="LIVREUR EXTERNE"/>
      <sheetName val="LIVREUR INTERNE ETC"/>
      <sheetName val="#REF"/>
    </sheetNames>
    <sheetDataSet>
      <sheetData sheetId="0">
        <row r="10">
          <cell r="N10"/>
          <cell r="Q10">
            <v>17900</v>
          </cell>
        </row>
        <row r="11">
          <cell r="N11">
            <v>40000</v>
          </cell>
          <cell r="Q11">
            <v>-5440</v>
          </cell>
        </row>
        <row r="12">
          <cell r="N12">
            <v>16000</v>
          </cell>
          <cell r="Q12">
            <v>10020</v>
          </cell>
        </row>
        <row r="13">
          <cell r="N13">
            <v>96000</v>
          </cell>
          <cell r="Q13">
            <v>-459015</v>
          </cell>
        </row>
        <row r="14">
          <cell r="N14">
            <v>46275</v>
          </cell>
          <cell r="Q14">
            <v>-62135</v>
          </cell>
        </row>
        <row r="15">
          <cell r="N15"/>
          <cell r="Q15">
            <v>176100</v>
          </cell>
        </row>
        <row r="16">
          <cell r="N16">
            <v>17600</v>
          </cell>
          <cell r="Q16">
            <v>-10400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N4">
            <v>102500</v>
          </cell>
          <cell r="Q4">
            <v>422030</v>
          </cell>
        </row>
        <row r="5">
          <cell r="N5">
            <v>60000</v>
          </cell>
          <cell r="Q5">
            <v>351965</v>
          </cell>
        </row>
        <row r="6">
          <cell r="N6">
            <v>157000</v>
          </cell>
          <cell r="Q6">
            <v>350855</v>
          </cell>
        </row>
        <row r="7">
          <cell r="N7">
            <v>130000</v>
          </cell>
          <cell r="Q7">
            <v>473300</v>
          </cell>
        </row>
        <row r="8">
          <cell r="N8"/>
          <cell r="Q8">
            <v>618545</v>
          </cell>
        </row>
        <row r="9">
          <cell r="N9">
            <v>207500</v>
          </cell>
          <cell r="Q9">
            <v>601515</v>
          </cell>
        </row>
        <row r="10">
          <cell r="N10">
            <v>126000</v>
          </cell>
          <cell r="Q10">
            <v>223175</v>
          </cell>
        </row>
        <row r="11">
          <cell r="N11"/>
          <cell r="Q11">
            <v>330595</v>
          </cell>
        </row>
        <row r="12">
          <cell r="N12">
            <v>38200</v>
          </cell>
          <cell r="Q12">
            <v>-25505</v>
          </cell>
        </row>
        <row r="13">
          <cell r="N13"/>
          <cell r="Q13">
            <v>277335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Q3">
            <v>135500</v>
          </cell>
          <cell r="T3">
            <v>3180870</v>
          </cell>
        </row>
        <row r="4">
          <cell r="Q4"/>
          <cell r="T4">
            <v>281135</v>
          </cell>
        </row>
        <row r="5">
          <cell r="Q5"/>
          <cell r="T5">
            <v>1503660</v>
          </cell>
        </row>
        <row r="6">
          <cell r="Q6"/>
          <cell r="T6">
            <v>879725</v>
          </cell>
        </row>
        <row r="7">
          <cell r="Q7">
            <v>127600</v>
          </cell>
          <cell r="T7">
            <v>431160</v>
          </cell>
        </row>
        <row r="8">
          <cell r="Q8">
            <v>66000</v>
          </cell>
          <cell r="T8">
            <v>14815</v>
          </cell>
        </row>
        <row r="9">
          <cell r="Q9">
            <v>34000</v>
          </cell>
          <cell r="T9">
            <v>108080</v>
          </cell>
        </row>
        <row r="10">
          <cell r="Q10"/>
          <cell r="T10">
            <v>0</v>
          </cell>
        </row>
        <row r="11">
          <cell r="Q11"/>
          <cell r="T11">
            <v>0</v>
          </cell>
        </row>
        <row r="12">
          <cell r="Q12"/>
          <cell r="T12">
            <v>0</v>
          </cell>
        </row>
        <row r="13">
          <cell r="Q13"/>
          <cell r="T13">
            <v>0</v>
          </cell>
        </row>
        <row r="20">
          <cell r="Q20">
            <v>50100</v>
          </cell>
          <cell r="T20">
            <v>134905</v>
          </cell>
        </row>
        <row r="26">
          <cell r="Q26"/>
          <cell r="T26">
            <v>42000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N17" sqref="N17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54" t="s">
        <v>52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49" t="s">
        <v>2</v>
      </c>
      <c r="Q2" s="53" t="s">
        <v>30</v>
      </c>
    </row>
    <row r="3" spans="1:17" ht="15" customHeight="1" x14ac:dyDescent="0.25">
      <c r="A3" s="54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49"/>
      <c r="Q3" s="53"/>
    </row>
    <row r="4" spans="1:17" ht="21" customHeight="1" x14ac:dyDescent="0.25">
      <c r="A4" s="4" t="s">
        <v>53</v>
      </c>
      <c r="B4" s="29"/>
      <c r="C4" s="27"/>
      <c r="D4" s="29"/>
      <c r="E4" s="29"/>
      <c r="F4" s="29"/>
      <c r="G4" s="29"/>
      <c r="H4" s="29"/>
      <c r="I4" s="29"/>
      <c r="J4" s="5">
        <f t="shared" ref="J4:J15" si="0">+B4*40+C4*80+D4*100+E4*160+F4*125+H4*80+I4*100</f>
        <v>0</v>
      </c>
      <c r="K4" s="5"/>
      <c r="L4" s="5">
        <v>0</v>
      </c>
      <c r="M4" s="5">
        <f t="shared" ref="M4:M14" si="1">+J4+K4+L4</f>
        <v>0</v>
      </c>
      <c r="N4" s="29"/>
      <c r="O4" s="5"/>
      <c r="P4" s="5"/>
      <c r="Q4" s="5">
        <f t="shared" ref="Q4:Q15" si="2">+J4+K4-N4</f>
        <v>0</v>
      </c>
    </row>
    <row r="5" spans="1:17" ht="21" customHeight="1" x14ac:dyDescent="0.25">
      <c r="A5" s="4" t="s">
        <v>54</v>
      </c>
      <c r="B5" s="29"/>
      <c r="C5" s="27"/>
      <c r="D5" s="29"/>
      <c r="E5" s="29"/>
      <c r="F5" s="29"/>
      <c r="G5" s="29"/>
      <c r="H5" s="29"/>
      <c r="I5" s="29"/>
      <c r="J5" s="5">
        <f t="shared" si="0"/>
        <v>0</v>
      </c>
      <c r="K5" s="5"/>
      <c r="L5" s="5">
        <v>0</v>
      </c>
      <c r="M5" s="5">
        <f t="shared" si="1"/>
        <v>0</v>
      </c>
      <c r="N5" s="29"/>
      <c r="O5" s="5"/>
      <c r="P5" s="5"/>
      <c r="Q5" s="5">
        <f t="shared" si="2"/>
        <v>0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/>
      <c r="L6" s="5">
        <v>0</v>
      </c>
      <c r="M6" s="5">
        <f t="shared" si="1"/>
        <v>0</v>
      </c>
      <c r="N6" s="29"/>
      <c r="O6" s="5"/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/>
      <c r="L7" s="5">
        <v>0</v>
      </c>
      <c r="M7" s="5">
        <f t="shared" si="1"/>
        <v>0</v>
      </c>
      <c r="N7" s="29"/>
      <c r="O7" s="5"/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9"/>
      <c r="D8" s="29"/>
      <c r="E8" s="29"/>
      <c r="F8" s="29"/>
      <c r="G8" s="29"/>
      <c r="H8" s="29"/>
      <c r="I8" s="29"/>
      <c r="J8" s="5">
        <f t="shared" si="0"/>
        <v>0</v>
      </c>
      <c r="K8" s="5"/>
      <c r="L8" s="5">
        <v>0</v>
      </c>
      <c r="M8" s="5">
        <f t="shared" si="1"/>
        <v>0</v>
      </c>
      <c r="N8" s="29"/>
      <c r="O8" s="5"/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9"/>
      <c r="D9" s="29"/>
      <c r="E9" s="29"/>
      <c r="F9" s="29"/>
      <c r="G9" s="29"/>
      <c r="H9" s="29"/>
      <c r="I9" s="29"/>
      <c r="J9" s="5">
        <f t="shared" si="0"/>
        <v>0</v>
      </c>
      <c r="K9" s="5"/>
      <c r="L9" s="5">
        <v>0</v>
      </c>
      <c r="M9" s="5">
        <f t="shared" si="1"/>
        <v>0</v>
      </c>
      <c r="N9" s="29"/>
      <c r="O9" s="5"/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9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17900</v>
      </c>
      <c r="L10" s="5">
        <v>0</v>
      </c>
      <c r="M10" s="5">
        <f t="shared" si="1"/>
        <v>25900</v>
      </c>
      <c r="N10" s="29">
        <v>24000</v>
      </c>
      <c r="O10" s="5">
        <f>+'[1]AGENCE CARREF'!$N10</f>
        <v>0</v>
      </c>
      <c r="P10" s="5"/>
      <c r="Q10" s="5">
        <f t="shared" si="2"/>
        <v>1900</v>
      </c>
    </row>
    <row r="11" spans="1:17" ht="21" customHeight="1" x14ac:dyDescent="0.25">
      <c r="A11" s="4" t="s">
        <v>25</v>
      </c>
      <c r="B11" s="29"/>
      <c r="C11" s="29">
        <v>175</v>
      </c>
      <c r="D11" s="29"/>
      <c r="E11" s="29"/>
      <c r="F11" s="29"/>
      <c r="G11" s="29"/>
      <c r="H11" s="29"/>
      <c r="I11" s="29"/>
      <c r="J11" s="5">
        <f t="shared" si="0"/>
        <v>14000</v>
      </c>
      <c r="K11" s="5">
        <f>+'[1]AGENCE CARREF'!$Q11</f>
        <v>-5440</v>
      </c>
      <c r="L11" s="5">
        <v>0</v>
      </c>
      <c r="M11" s="5">
        <f t="shared" si="1"/>
        <v>8560</v>
      </c>
      <c r="N11" s="29"/>
      <c r="O11" s="5">
        <f>+'[1]AGENCE CARREF'!$N11</f>
        <v>40000</v>
      </c>
      <c r="P11" s="5"/>
      <c r="Q11" s="5">
        <f t="shared" si="2"/>
        <v>8560</v>
      </c>
    </row>
    <row r="12" spans="1:17" ht="21" customHeight="1" x14ac:dyDescent="0.25">
      <c r="A12" s="4" t="s">
        <v>49</v>
      </c>
      <c r="B12" s="29"/>
      <c r="C12" s="29">
        <v>150</v>
      </c>
      <c r="D12" s="29"/>
      <c r="E12" s="29">
        <v>50</v>
      </c>
      <c r="F12" s="29"/>
      <c r="G12" s="29"/>
      <c r="H12" s="29"/>
      <c r="I12" s="29"/>
      <c r="J12" s="5">
        <f t="shared" si="0"/>
        <v>20000</v>
      </c>
      <c r="K12" s="5">
        <f>+'[1]AGENCE CARREF'!$Q12</f>
        <v>10020</v>
      </c>
      <c r="L12" s="5">
        <v>1500</v>
      </c>
      <c r="M12" s="5">
        <f t="shared" si="1"/>
        <v>31520</v>
      </c>
      <c r="N12" s="29">
        <v>20000</v>
      </c>
      <c r="O12" s="5">
        <f>+'[1]AGENCE CARREF'!$N12</f>
        <v>16000</v>
      </c>
      <c r="P12" s="5"/>
      <c r="Q12" s="5">
        <f t="shared" si="2"/>
        <v>10020</v>
      </c>
    </row>
    <row r="13" spans="1:17" ht="21" customHeight="1" x14ac:dyDescent="0.25">
      <c r="A13" s="4" t="s">
        <v>24</v>
      </c>
      <c r="B13" s="29"/>
      <c r="C13" s="27">
        <v>1200</v>
      </c>
      <c r="D13" s="29"/>
      <c r="E13" s="29"/>
      <c r="F13" s="29"/>
      <c r="G13" s="29"/>
      <c r="H13" s="29"/>
      <c r="I13" s="29"/>
      <c r="J13" s="5">
        <f t="shared" si="0"/>
        <v>96000</v>
      </c>
      <c r="K13" s="5">
        <f>+'[1]AGENCE CARREF'!$Q13</f>
        <v>-459015</v>
      </c>
      <c r="L13" s="5">
        <v>0</v>
      </c>
      <c r="M13" s="5">
        <f t="shared" si="1"/>
        <v>-363015</v>
      </c>
      <c r="N13" s="29">
        <v>76150</v>
      </c>
      <c r="O13" s="5">
        <f>+'[1]AGENCE CARREF'!$N13</f>
        <v>96000</v>
      </c>
      <c r="P13" s="5"/>
      <c r="Q13" s="5">
        <f t="shared" si="2"/>
        <v>-439165</v>
      </c>
    </row>
    <row r="14" spans="1:17" ht="21" customHeight="1" x14ac:dyDescent="0.25">
      <c r="A14" s="38" t="s">
        <v>77</v>
      </c>
      <c r="B14" s="29">
        <v>100</v>
      </c>
      <c r="C14" s="29">
        <v>248</v>
      </c>
      <c r="D14" s="29">
        <v>205</v>
      </c>
      <c r="E14" s="29">
        <v>12</v>
      </c>
      <c r="F14" s="29"/>
      <c r="G14" s="29"/>
      <c r="H14" s="29"/>
      <c r="I14" s="29"/>
      <c r="J14" s="5">
        <f t="shared" si="0"/>
        <v>46260</v>
      </c>
      <c r="K14" s="5">
        <f>+'[1]AGENCE CARREF'!$Q14</f>
        <v>-62135</v>
      </c>
      <c r="L14" s="5">
        <v>0</v>
      </c>
      <c r="M14" s="5">
        <f t="shared" si="1"/>
        <v>-15875</v>
      </c>
      <c r="N14" s="29">
        <v>22725</v>
      </c>
      <c r="O14" s="5">
        <f>+'[1]AGENCE CARREF'!$N14</f>
        <v>46275</v>
      </c>
      <c r="P14" s="5"/>
      <c r="Q14" s="5">
        <f t="shared" si="2"/>
        <v>-38600</v>
      </c>
    </row>
    <row r="15" spans="1:17" ht="21" customHeight="1" x14ac:dyDescent="0.25">
      <c r="A15" s="38" t="s">
        <v>78</v>
      </c>
      <c r="B15" s="29"/>
      <c r="C15" s="29">
        <v>712</v>
      </c>
      <c r="D15" s="29"/>
      <c r="E15" s="29"/>
      <c r="F15" s="29"/>
      <c r="G15" s="29"/>
      <c r="H15" s="29"/>
      <c r="I15" s="29"/>
      <c r="J15" s="5">
        <f t="shared" si="0"/>
        <v>56960</v>
      </c>
      <c r="K15" s="5">
        <f>+'[1]AGENCE CARREF'!$Q15</f>
        <v>176100</v>
      </c>
      <c r="L15" s="5"/>
      <c r="M15" s="5"/>
      <c r="N15" s="29"/>
      <c r="O15" s="5">
        <f>+'[1]AGENCE CARREF'!$N15</f>
        <v>0</v>
      </c>
      <c r="P15" s="5"/>
      <c r="Q15" s="5">
        <f t="shared" si="2"/>
        <v>233060</v>
      </c>
    </row>
    <row r="16" spans="1:17" ht="21" customHeight="1" x14ac:dyDescent="0.25">
      <c r="A16" s="32" t="s">
        <v>79</v>
      </c>
      <c r="B16" s="29"/>
      <c r="C16" s="29">
        <v>150</v>
      </c>
      <c r="D16" s="29"/>
      <c r="E16" s="29">
        <v>50</v>
      </c>
      <c r="F16" s="29"/>
      <c r="G16" s="29"/>
      <c r="H16" s="29"/>
      <c r="I16" s="29"/>
      <c r="J16" s="5">
        <f>+B16*40+C16*80+D16*100+E16*160+F16*125+H16*80+I16*100</f>
        <v>20000</v>
      </c>
      <c r="K16" s="5">
        <f>+'[1]AGENCE CARREF'!$Q16</f>
        <v>-10400</v>
      </c>
      <c r="L16" s="5">
        <v>24000</v>
      </c>
      <c r="M16" s="5">
        <f>+J16+K16+L16</f>
        <v>33600</v>
      </c>
      <c r="N16" s="29">
        <v>20000</v>
      </c>
      <c r="O16" s="5">
        <f>+'[1]AGENCE CARREF'!$N16</f>
        <v>17600</v>
      </c>
      <c r="P16" s="5"/>
      <c r="Q16" s="5">
        <f>+J16+K16-N16</f>
        <v>-10400</v>
      </c>
    </row>
    <row r="17" spans="1:17" ht="21" customHeight="1" x14ac:dyDescent="0.25">
      <c r="A17" s="6" t="s">
        <v>47</v>
      </c>
      <c r="B17" s="29"/>
      <c r="C17" s="29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9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100</v>
      </c>
      <c r="C20" s="22">
        <f t="shared" ref="C20:Q20" si="3">+SUM(C4:C19)</f>
        <v>2735</v>
      </c>
      <c r="D20" s="22">
        <f t="shared" si="3"/>
        <v>205</v>
      </c>
      <c r="E20" s="9">
        <f t="shared" si="3"/>
        <v>112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261220</v>
      </c>
      <c r="K20" s="9">
        <f t="shared" si="3"/>
        <v>-332970</v>
      </c>
      <c r="L20" s="9">
        <f t="shared" si="3"/>
        <v>89200</v>
      </c>
      <c r="M20" s="9">
        <f t="shared" si="3"/>
        <v>-215610</v>
      </c>
      <c r="N20" s="9">
        <f t="shared" si="3"/>
        <v>162875</v>
      </c>
      <c r="O20" s="9">
        <f t="shared" si="3"/>
        <v>215875</v>
      </c>
      <c r="P20" s="9"/>
      <c r="Q20" s="9">
        <f t="shared" si="3"/>
        <v>-234625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selection activeCell="N13" sqref="N13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0" bestFit="1" customWidth="1"/>
    <col min="13" max="13" width="11.7109375" style="20" bestFit="1" customWidth="1"/>
    <col min="14" max="14" width="9.5703125" style="24" bestFit="1" customWidth="1"/>
    <col min="15" max="15" width="8.8554687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57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34" t="s">
        <v>28</v>
      </c>
      <c r="N1" s="35">
        <f ca="1">+TODAY()</f>
        <v>46230</v>
      </c>
      <c r="O1" s="35"/>
      <c r="P1" s="15"/>
      <c r="Q1" s="4"/>
    </row>
    <row r="2" spans="1:17" s="1" customFormat="1" x14ac:dyDescent="0.25">
      <c r="A2" s="54" t="s">
        <v>0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56" t="s">
        <v>2</v>
      </c>
      <c r="Q2" s="54" t="s">
        <v>30</v>
      </c>
    </row>
    <row r="3" spans="1:17" s="1" customFormat="1" ht="30" x14ac:dyDescent="0.25">
      <c r="A3" s="54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56"/>
      <c r="Q3" s="54"/>
    </row>
    <row r="4" spans="1:17" ht="24.75" customHeight="1" x14ac:dyDescent="0.25">
      <c r="A4" s="4" t="s">
        <v>12</v>
      </c>
      <c r="B4" s="29"/>
      <c r="C4" s="29">
        <v>215</v>
      </c>
      <c r="D4" s="29">
        <v>243</v>
      </c>
      <c r="E4" s="29">
        <v>3</v>
      </c>
      <c r="F4" s="29"/>
      <c r="G4" s="29"/>
      <c r="H4" s="29"/>
      <c r="I4" s="29"/>
      <c r="J4" s="5">
        <f t="shared" ref="J4:J17" si="0">+B4*40+C4*75+D4*100+E4*160+F4*160+H4*80+I4*100</f>
        <v>40905</v>
      </c>
      <c r="K4" s="5">
        <f>+'[1]LIVREUR EXTERNE'!$Q4</f>
        <v>422030</v>
      </c>
      <c r="L4" s="17">
        <v>2003045</v>
      </c>
      <c r="M4" s="17">
        <f t="shared" ref="M4:M17" si="1">+SUM(J4:L4)</f>
        <v>2465980</v>
      </c>
      <c r="N4" s="27">
        <v>41000</v>
      </c>
      <c r="O4" s="14">
        <f>+'[1]LIVREUR EXTERNE'!$N4</f>
        <v>102500</v>
      </c>
      <c r="P4" s="15"/>
      <c r="Q4" s="36">
        <f>+J4+K4-N4</f>
        <v>421935</v>
      </c>
    </row>
    <row r="5" spans="1:17" ht="24.75" customHeight="1" x14ac:dyDescent="0.25">
      <c r="A5" s="4" t="s">
        <v>19</v>
      </c>
      <c r="B5" s="29"/>
      <c r="C5" s="29">
        <v>400</v>
      </c>
      <c r="D5" s="29">
        <v>55</v>
      </c>
      <c r="E5" s="29"/>
      <c r="F5" s="29"/>
      <c r="G5" s="29"/>
      <c r="H5" s="29"/>
      <c r="I5" s="29"/>
      <c r="J5" s="5">
        <f t="shared" si="0"/>
        <v>35500</v>
      </c>
      <c r="K5" s="5">
        <f>+'[1]LIVREUR EXTERNE'!$Q5</f>
        <v>351965</v>
      </c>
      <c r="L5" s="17">
        <v>833780</v>
      </c>
      <c r="M5" s="17">
        <f t="shared" si="1"/>
        <v>1221245</v>
      </c>
      <c r="N5" s="27"/>
      <c r="O5" s="14">
        <f>+'[1]LIVREUR EXTERNE'!$N5</f>
        <v>60000</v>
      </c>
      <c r="P5" s="15"/>
      <c r="Q5" s="36">
        <f t="shared" ref="Q5:Q17" si="2">+J5+K5-N5</f>
        <v>387465</v>
      </c>
    </row>
    <row r="6" spans="1:17" ht="24.75" customHeight="1" x14ac:dyDescent="0.25">
      <c r="A6" s="38" t="s">
        <v>26</v>
      </c>
      <c r="B6" s="29"/>
      <c r="C6" s="29">
        <v>1310</v>
      </c>
      <c r="D6" s="29">
        <v>500</v>
      </c>
      <c r="E6" s="29">
        <v>5</v>
      </c>
      <c r="F6" s="29"/>
      <c r="G6" s="29"/>
      <c r="H6" s="29"/>
      <c r="I6" s="29"/>
      <c r="J6" s="5">
        <f t="shared" si="0"/>
        <v>149050</v>
      </c>
      <c r="K6" s="5">
        <f>+'[1]LIVREUR EXTERNE'!$Q6</f>
        <v>350855</v>
      </c>
      <c r="L6" s="17">
        <v>1466430</v>
      </c>
      <c r="M6" s="17">
        <f t="shared" si="1"/>
        <v>1966335</v>
      </c>
      <c r="N6" s="27"/>
      <c r="O6" s="14">
        <f>+'[1]LIVREUR EXTERNE'!$N6</f>
        <v>157000</v>
      </c>
      <c r="P6" s="15"/>
      <c r="Q6" s="36">
        <f t="shared" si="2"/>
        <v>499905</v>
      </c>
    </row>
    <row r="7" spans="1:17" ht="24.75" customHeight="1" x14ac:dyDescent="0.25">
      <c r="A7" s="4" t="s">
        <v>15</v>
      </c>
      <c r="B7" s="29"/>
      <c r="C7" s="29">
        <v>750</v>
      </c>
      <c r="D7" s="29">
        <v>750</v>
      </c>
      <c r="E7" s="29">
        <v>5</v>
      </c>
      <c r="F7" s="29"/>
      <c r="G7" s="29"/>
      <c r="H7" s="29"/>
      <c r="I7" s="29"/>
      <c r="J7" s="5">
        <f t="shared" si="0"/>
        <v>132050</v>
      </c>
      <c r="K7" s="5">
        <f>+'[1]LIVREUR EXTERNE'!$Q7</f>
        <v>473300</v>
      </c>
      <c r="L7" s="17">
        <v>1897085</v>
      </c>
      <c r="M7" s="17">
        <f t="shared" si="1"/>
        <v>2502435</v>
      </c>
      <c r="N7" s="27">
        <v>132000</v>
      </c>
      <c r="O7" s="14">
        <f>+'[1]LIVREUR EXTERNE'!$N7</f>
        <v>130000</v>
      </c>
      <c r="P7" s="15"/>
      <c r="Q7" s="36">
        <f t="shared" si="2"/>
        <v>473350</v>
      </c>
    </row>
    <row r="8" spans="1:17" ht="24.75" customHeight="1" x14ac:dyDescent="0.25">
      <c r="A8" s="4" t="s">
        <v>17</v>
      </c>
      <c r="B8" s="29"/>
      <c r="C8" s="29">
        <v>650</v>
      </c>
      <c r="D8" s="29">
        <v>720</v>
      </c>
      <c r="E8" s="29">
        <v>5</v>
      </c>
      <c r="F8" s="29"/>
      <c r="G8" s="29"/>
      <c r="H8" s="29"/>
      <c r="I8" s="29">
        <v>20</v>
      </c>
      <c r="J8" s="5">
        <f t="shared" si="0"/>
        <v>123550</v>
      </c>
      <c r="K8" s="5">
        <f>+'[1]LIVREUR EXTERNE'!$Q8</f>
        <v>618545</v>
      </c>
      <c r="L8" s="17">
        <v>1412040</v>
      </c>
      <c r="M8" s="17">
        <f t="shared" si="1"/>
        <v>2154135</v>
      </c>
      <c r="N8" s="27">
        <v>245500</v>
      </c>
      <c r="O8" s="14">
        <f>+'[1]LIVREUR EXTERNE'!$N8</f>
        <v>0</v>
      </c>
      <c r="P8" s="15"/>
      <c r="Q8" s="36">
        <f t="shared" si="2"/>
        <v>496595</v>
      </c>
    </row>
    <row r="9" spans="1:17" ht="24.75" customHeight="1" x14ac:dyDescent="0.25">
      <c r="A9" s="4" t="s">
        <v>29</v>
      </c>
      <c r="B9" s="29">
        <v>150</v>
      </c>
      <c r="C9" s="29">
        <v>880</v>
      </c>
      <c r="D9" s="29">
        <v>670</v>
      </c>
      <c r="E9" s="29"/>
      <c r="F9" s="29"/>
      <c r="G9" s="29"/>
      <c r="H9" s="29"/>
      <c r="I9" s="29"/>
      <c r="J9" s="5">
        <f t="shared" si="0"/>
        <v>139000</v>
      </c>
      <c r="K9" s="5">
        <f>+'[1]LIVREUR EXTERNE'!$Q9</f>
        <v>601515</v>
      </c>
      <c r="L9" s="17">
        <v>2175630</v>
      </c>
      <c r="M9" s="17">
        <f t="shared" si="1"/>
        <v>2916145</v>
      </c>
      <c r="N9" s="27">
        <v>139000</v>
      </c>
      <c r="O9" s="14">
        <f>+'[1]LIVREUR EXTERNE'!$N9</f>
        <v>207500</v>
      </c>
      <c r="P9" s="15"/>
      <c r="Q9" s="36">
        <f t="shared" si="2"/>
        <v>601515</v>
      </c>
    </row>
    <row r="10" spans="1:17" ht="24.75" customHeight="1" x14ac:dyDescent="0.25">
      <c r="A10" s="4" t="s">
        <v>21</v>
      </c>
      <c r="B10" s="29"/>
      <c r="C10" s="29">
        <v>670</v>
      </c>
      <c r="D10" s="29">
        <v>675</v>
      </c>
      <c r="E10" s="29">
        <v>31</v>
      </c>
      <c r="F10" s="29"/>
      <c r="G10" s="29"/>
      <c r="H10" s="29"/>
      <c r="I10" s="29"/>
      <c r="J10" s="5">
        <f t="shared" si="0"/>
        <v>122710</v>
      </c>
      <c r="K10" s="5">
        <f>+'[1]LIVREUR EXTERNE'!$Q10</f>
        <v>223175</v>
      </c>
      <c r="L10" s="17">
        <v>1337940</v>
      </c>
      <c r="M10" s="17">
        <f t="shared" si="1"/>
        <v>1683825</v>
      </c>
      <c r="N10" s="27">
        <v>122725</v>
      </c>
      <c r="O10" s="14">
        <f>+'[1]LIVREUR EXTERNE'!$N10</f>
        <v>126000</v>
      </c>
      <c r="P10" s="15"/>
      <c r="Q10" s="36">
        <f t="shared" si="2"/>
        <v>223160</v>
      </c>
    </row>
    <row r="11" spans="1:17" ht="24.75" customHeight="1" x14ac:dyDescent="0.25">
      <c r="A11" s="38" t="s">
        <v>14</v>
      </c>
      <c r="B11" s="30"/>
      <c r="C11" s="30">
        <v>475</v>
      </c>
      <c r="D11" s="30">
        <v>625</v>
      </c>
      <c r="E11" s="30">
        <v>13</v>
      </c>
      <c r="F11" s="30"/>
      <c r="G11" s="30"/>
      <c r="H11" s="30"/>
      <c r="I11" s="30"/>
      <c r="J11" s="7">
        <f t="shared" si="0"/>
        <v>100205</v>
      </c>
      <c r="K11" s="5">
        <f>+'[1]LIVREUR EXTERNE'!$Q11</f>
        <v>330595</v>
      </c>
      <c r="L11" s="18">
        <v>582810</v>
      </c>
      <c r="M11" s="17">
        <f t="shared" si="1"/>
        <v>1013610</v>
      </c>
      <c r="N11" s="31">
        <v>202000</v>
      </c>
      <c r="O11" s="14">
        <f>+'[1]LIVREUR EXTERNE'!$N11</f>
        <v>0</v>
      </c>
      <c r="P11" s="21"/>
      <c r="Q11" s="36">
        <f t="shared" si="2"/>
        <v>228800</v>
      </c>
    </row>
    <row r="12" spans="1:17" ht="24.75" customHeight="1" x14ac:dyDescent="0.25">
      <c r="A12" s="4" t="s">
        <v>75</v>
      </c>
      <c r="B12" s="30"/>
      <c r="C12" s="30">
        <v>120</v>
      </c>
      <c r="D12" s="30">
        <v>275</v>
      </c>
      <c r="E12" s="30">
        <v>17</v>
      </c>
      <c r="F12" s="30"/>
      <c r="G12" s="30"/>
      <c r="H12" s="30"/>
      <c r="I12" s="30"/>
      <c r="J12" s="7">
        <f t="shared" si="0"/>
        <v>39220</v>
      </c>
      <c r="K12" s="5">
        <f>+'[1]LIVREUR EXTERNE'!$Q12</f>
        <v>-25505</v>
      </c>
      <c r="L12" s="18">
        <v>0</v>
      </c>
      <c r="M12" s="17">
        <f t="shared" si="1"/>
        <v>13715</v>
      </c>
      <c r="N12" s="31">
        <v>43750</v>
      </c>
      <c r="O12" s="14">
        <f>+'[1]LIVREUR EXTERNE'!$N12</f>
        <v>38200</v>
      </c>
      <c r="P12" s="21"/>
      <c r="Q12" s="36">
        <f t="shared" si="2"/>
        <v>-30035</v>
      </c>
    </row>
    <row r="13" spans="1:17" ht="24.75" customHeight="1" x14ac:dyDescent="0.25">
      <c r="A13" s="4" t="s">
        <v>76</v>
      </c>
      <c r="B13" s="30"/>
      <c r="C13" s="30">
        <v>820</v>
      </c>
      <c r="D13" s="30">
        <v>500</v>
      </c>
      <c r="E13" s="30">
        <v>3</v>
      </c>
      <c r="F13" s="30"/>
      <c r="G13" s="30"/>
      <c r="H13" s="30"/>
      <c r="I13" s="30"/>
      <c r="J13" s="7">
        <f t="shared" si="0"/>
        <v>111980</v>
      </c>
      <c r="K13" s="5">
        <f>+'[1]LIVREUR EXTERNE'!$Q13</f>
        <v>277335</v>
      </c>
      <c r="L13" s="18">
        <v>0</v>
      </c>
      <c r="M13" s="17">
        <f t="shared" si="1"/>
        <v>389315</v>
      </c>
      <c r="N13" s="31"/>
      <c r="O13" s="14">
        <f>+'[1]LIVREUR EXTERNE'!$N13</f>
        <v>0</v>
      </c>
      <c r="P13" s="21"/>
      <c r="Q13" s="36">
        <f>+J13+K13-N13</f>
        <v>389315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7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7">
        <f t="shared" si="1"/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7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7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 t="shared" ref="B18:N18" si="3">+SUM(B4:B17)</f>
        <v>150</v>
      </c>
      <c r="C18" s="9">
        <f t="shared" si="3"/>
        <v>6290</v>
      </c>
      <c r="D18" s="9">
        <f t="shared" si="3"/>
        <v>5013</v>
      </c>
      <c r="E18" s="9">
        <f t="shared" si="3"/>
        <v>82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20</v>
      </c>
      <c r="J18" s="19">
        <f t="shared" si="3"/>
        <v>994170</v>
      </c>
      <c r="K18" s="9">
        <f>+SUM(K4:K17)</f>
        <v>3623810</v>
      </c>
      <c r="L18" s="19">
        <f t="shared" si="3"/>
        <v>13467865</v>
      </c>
      <c r="M18" s="19">
        <f t="shared" si="3"/>
        <v>18085845</v>
      </c>
      <c r="N18" s="22">
        <f t="shared" si="3"/>
        <v>925975</v>
      </c>
      <c r="O18" s="22"/>
      <c r="P18" s="23"/>
      <c r="Q18" s="37">
        <f>+SUM(Q4:Q17)</f>
        <v>3692005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workbookViewId="0">
      <selection activeCell="M27" sqref="M27"/>
    </sheetView>
  </sheetViews>
  <sheetFormatPr baseColWidth="10" defaultRowHeight="15" x14ac:dyDescent="0.25"/>
  <cols>
    <col min="1" max="1" width="23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8554687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8.42578125" style="20" bestFit="1" customWidth="1"/>
    <col min="14" max="14" width="10.42578125" style="20" customWidth="1"/>
    <col min="15" max="15" width="10.28515625" style="20" bestFit="1" customWidth="1"/>
    <col min="16" max="16" width="12" style="20" customWidth="1"/>
    <col min="17" max="17" width="9.140625" style="24" bestFit="1" customWidth="1"/>
    <col min="18" max="18" width="8.140625" style="24" customWidth="1"/>
    <col min="19" max="19" width="7.140625" style="24" customWidth="1"/>
    <col min="20" max="20" width="12.5703125" style="2" customWidth="1"/>
  </cols>
  <sheetData>
    <row r="1" spans="1:20" s="12" customFormat="1" ht="15" customHeight="1" x14ac:dyDescent="0.25">
      <c r="A1" s="54" t="s">
        <v>0</v>
      </c>
      <c r="B1" s="49" t="s">
        <v>33</v>
      </c>
      <c r="C1" s="49"/>
      <c r="D1" s="49"/>
      <c r="E1" s="49"/>
      <c r="F1" s="49" t="s">
        <v>32</v>
      </c>
      <c r="G1" s="49"/>
      <c r="H1" s="49"/>
      <c r="I1" s="49"/>
      <c r="J1" s="49"/>
      <c r="K1" s="13" t="s">
        <v>6</v>
      </c>
      <c r="L1" s="13" t="s">
        <v>31</v>
      </c>
      <c r="M1" s="55" t="s">
        <v>8</v>
      </c>
      <c r="N1" s="55" t="s">
        <v>9</v>
      </c>
      <c r="O1" s="55" t="s">
        <v>10</v>
      </c>
      <c r="P1" s="55" t="s">
        <v>11</v>
      </c>
      <c r="Q1" s="49" t="s">
        <v>1</v>
      </c>
      <c r="R1" s="49" t="s">
        <v>46</v>
      </c>
      <c r="S1" s="49" t="s">
        <v>2</v>
      </c>
      <c r="T1" s="53" t="s">
        <v>30</v>
      </c>
    </row>
    <row r="2" spans="1:20" s="12" customFormat="1" x14ac:dyDescent="0.25">
      <c r="A2" s="54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55"/>
      <c r="N2" s="55"/>
      <c r="O2" s="55"/>
      <c r="P2" s="55"/>
      <c r="Q2" s="49"/>
      <c r="R2" s="49"/>
      <c r="S2" s="49"/>
      <c r="T2" s="53"/>
    </row>
    <row r="3" spans="1:20" ht="22.5" customHeight="1" x14ac:dyDescent="0.25">
      <c r="A3" s="4" t="s">
        <v>34</v>
      </c>
      <c r="B3" s="27">
        <v>100</v>
      </c>
      <c r="C3" s="27">
        <v>1270</v>
      </c>
      <c r="D3" s="27"/>
      <c r="E3" s="27"/>
      <c r="F3" s="27">
        <v>250</v>
      </c>
      <c r="G3" s="27">
        <v>800</v>
      </c>
      <c r="H3" s="27"/>
      <c r="I3" s="27"/>
      <c r="J3" s="27"/>
      <c r="K3" s="27"/>
      <c r="L3" s="27"/>
      <c r="M3" s="17">
        <f>+B3*40+C3*80+D3*100+E3*160+F3*40+G3*80+H3*125+I3*160+K3*80+L3*100</f>
        <v>179600</v>
      </c>
      <c r="N3" s="17">
        <f>+'[1]LIVREUR INTERNE ETC'!$T3</f>
        <v>3180870</v>
      </c>
      <c r="O3" s="17">
        <v>295950</v>
      </c>
      <c r="P3" s="17">
        <f t="shared" ref="P3:P13" si="0">+M3+N3+O3</f>
        <v>3656420</v>
      </c>
      <c r="Q3" s="27">
        <v>139600</v>
      </c>
      <c r="R3" s="14">
        <f>+'[1]LIVREUR INTERNE ETC'!$Q3</f>
        <v>135500</v>
      </c>
      <c r="S3" s="14"/>
      <c r="T3" s="5">
        <f t="shared" ref="T3:T13" si="1">+M3+N3-Q3</f>
        <v>3220870</v>
      </c>
    </row>
    <row r="4" spans="1:20" ht="22.5" customHeight="1" x14ac:dyDescent="0.25">
      <c r="A4" s="4" t="s">
        <v>40</v>
      </c>
      <c r="B4" s="27"/>
      <c r="C4" s="27">
        <v>55</v>
      </c>
      <c r="D4" s="27"/>
      <c r="E4" s="27"/>
      <c r="F4" s="27"/>
      <c r="G4" s="27"/>
      <c r="H4" s="27"/>
      <c r="I4" s="27"/>
      <c r="J4" s="27"/>
      <c r="K4" s="27"/>
      <c r="L4" s="27"/>
      <c r="M4" s="17">
        <f>+B4*40+C4*80+D4*125+E4*160+F4*40+G4*80+H4*125+I4*160+K4*80+L4*100</f>
        <v>4400</v>
      </c>
      <c r="N4" s="17">
        <f>+'[1]LIVREUR INTERNE ETC'!$T4</f>
        <v>281135</v>
      </c>
      <c r="O4" s="17">
        <v>476485</v>
      </c>
      <c r="P4" s="17">
        <f t="shared" si="0"/>
        <v>762020</v>
      </c>
      <c r="Q4" s="27"/>
      <c r="R4" s="14">
        <f>+'[1]LIVREUR INTERNE ETC'!$Q4</f>
        <v>0</v>
      </c>
      <c r="S4" s="14"/>
      <c r="T4" s="5">
        <f t="shared" si="1"/>
        <v>285535</v>
      </c>
    </row>
    <row r="5" spans="1:20" ht="22.5" customHeight="1" x14ac:dyDescent="0.25">
      <c r="A5" s="4" t="s">
        <v>37</v>
      </c>
      <c r="B5" s="27"/>
      <c r="C5" s="27">
        <v>415</v>
      </c>
      <c r="D5" s="27"/>
      <c r="E5" s="27"/>
      <c r="F5" s="27"/>
      <c r="G5" s="27"/>
      <c r="H5" s="27"/>
      <c r="I5" s="27"/>
      <c r="J5" s="27"/>
      <c r="K5" s="27"/>
      <c r="L5" s="27"/>
      <c r="M5" s="17">
        <f>+B5*40+C5*80+D5*100+E5*160+F5*40+G5*80+H5*125+I5*160+K5*80+L5*100</f>
        <v>33200</v>
      </c>
      <c r="N5" s="17">
        <f>+'[1]LIVREUR INTERNE ETC'!$T5</f>
        <v>1503660</v>
      </c>
      <c r="O5" s="17">
        <v>91600</v>
      </c>
      <c r="P5" s="17">
        <f t="shared" si="0"/>
        <v>1628460</v>
      </c>
      <c r="Q5" s="27">
        <v>57000</v>
      </c>
      <c r="R5" s="14">
        <f>+'[1]LIVREUR INTERNE ETC'!$Q5</f>
        <v>0</v>
      </c>
      <c r="S5" s="14"/>
      <c r="T5" s="5">
        <f t="shared" si="1"/>
        <v>1479860</v>
      </c>
    </row>
    <row r="6" spans="1:20" ht="22.5" customHeight="1" x14ac:dyDescent="0.25">
      <c r="A6" s="4" t="s">
        <v>39</v>
      </c>
      <c r="B6" s="27">
        <v>300</v>
      </c>
      <c r="C6" s="27">
        <v>1825</v>
      </c>
      <c r="D6" s="27">
        <v>10</v>
      </c>
      <c r="E6" s="27">
        <v>110</v>
      </c>
      <c r="F6" s="27"/>
      <c r="G6" s="27">
        <v>1075</v>
      </c>
      <c r="H6" s="27"/>
      <c r="I6" s="27">
        <v>71</v>
      </c>
      <c r="J6" s="27"/>
      <c r="K6" s="27"/>
      <c r="L6" s="27"/>
      <c r="M6" s="17">
        <f>+B6*40+C6*80+D6*100+E6*160+F6*40+G6*80+H6*125+I6*160+K6*80+L6*100</f>
        <v>273960</v>
      </c>
      <c r="N6" s="17">
        <f>+'[1]LIVREUR INTERNE ETC'!$T6</f>
        <v>879725</v>
      </c>
      <c r="O6" s="17">
        <v>785440</v>
      </c>
      <c r="P6" s="17">
        <f t="shared" si="0"/>
        <v>1939125</v>
      </c>
      <c r="Q6" s="27">
        <v>560500</v>
      </c>
      <c r="R6" s="14">
        <f>+'[1]LIVREUR INTERNE ETC'!$Q6</f>
        <v>0</v>
      </c>
      <c r="S6" s="14"/>
      <c r="T6" s="5">
        <f t="shared" si="1"/>
        <v>593185</v>
      </c>
    </row>
    <row r="7" spans="1:20" ht="22.5" customHeight="1" x14ac:dyDescent="0.25">
      <c r="A7" s="4" t="s">
        <v>35</v>
      </c>
      <c r="B7" s="27"/>
      <c r="C7" s="27"/>
      <c r="D7" s="27"/>
      <c r="E7" s="27"/>
      <c r="F7" s="27"/>
      <c r="G7" s="27">
        <v>900</v>
      </c>
      <c r="H7" s="27"/>
      <c r="I7" s="27">
        <v>80</v>
      </c>
      <c r="J7" s="27"/>
      <c r="K7" s="27"/>
      <c r="L7" s="27"/>
      <c r="M7" s="17">
        <f>+B7*40+C7*80+D7*100+E7*160+F7*40+G7*80+H7*125+I7*160+K7*80+L7*100</f>
        <v>84800</v>
      </c>
      <c r="N7" s="17">
        <f>+'[1]LIVREUR INTERNE ETC'!$T7</f>
        <v>431160</v>
      </c>
      <c r="O7" s="17">
        <v>20920</v>
      </c>
      <c r="P7" s="17">
        <f t="shared" si="0"/>
        <v>536880</v>
      </c>
      <c r="Q7" s="27">
        <v>290000</v>
      </c>
      <c r="R7" s="14">
        <f>+'[1]LIVREUR INTERNE ETC'!$Q7</f>
        <v>127600</v>
      </c>
      <c r="S7" s="14"/>
      <c r="T7" s="5">
        <f t="shared" si="1"/>
        <v>225960</v>
      </c>
    </row>
    <row r="8" spans="1:20" ht="22.5" customHeight="1" x14ac:dyDescent="0.25">
      <c r="A8" s="4" t="s">
        <v>45</v>
      </c>
      <c r="B8" s="27"/>
      <c r="C8" s="27">
        <v>570</v>
      </c>
      <c r="D8" s="28"/>
      <c r="E8" s="27"/>
      <c r="F8" s="27"/>
      <c r="G8" s="27">
        <v>650</v>
      </c>
      <c r="H8" s="27"/>
      <c r="I8" s="27"/>
      <c r="J8" s="27"/>
      <c r="K8" s="27"/>
      <c r="L8" s="27"/>
      <c r="M8" s="17">
        <f>+B8*40+C8*75+D8*100+E8*160+F8*40+G8*75+H8*125+I8*160+K8*80+L8*100</f>
        <v>91500</v>
      </c>
      <c r="N8" s="17">
        <f>+'[1]LIVREUR INTERNE ETC'!$T8</f>
        <v>14815</v>
      </c>
      <c r="O8" s="17">
        <v>0</v>
      </c>
      <c r="P8" s="17">
        <f t="shared" si="0"/>
        <v>106315</v>
      </c>
      <c r="Q8" s="27">
        <v>90000</v>
      </c>
      <c r="R8" s="14">
        <f>+'[1]LIVREUR INTERNE ETC'!$Q8</f>
        <v>66000</v>
      </c>
      <c r="S8" s="14"/>
      <c r="T8" s="5">
        <f t="shared" si="1"/>
        <v>16315</v>
      </c>
    </row>
    <row r="9" spans="1:20" ht="22.5" customHeight="1" x14ac:dyDescent="0.25">
      <c r="A9" s="4" t="s">
        <v>41</v>
      </c>
      <c r="B9" s="27"/>
      <c r="C9" s="27">
        <v>307</v>
      </c>
      <c r="D9" s="27">
        <v>20</v>
      </c>
      <c r="E9" s="27">
        <v>25</v>
      </c>
      <c r="F9" s="27"/>
      <c r="G9" s="27">
        <v>362</v>
      </c>
      <c r="H9" s="27"/>
      <c r="I9" s="27"/>
      <c r="J9" s="27"/>
      <c r="K9" s="27"/>
      <c r="L9" s="27"/>
      <c r="M9" s="17">
        <f t="shared" ref="M9" si="2">+B9*40+C9*80+D9*100+E9*160+F9*40+G9*80+H9*125+I9*160+K9*80+L9*100</f>
        <v>59520</v>
      </c>
      <c r="N9" s="17">
        <f>+'[1]LIVREUR INTERNE ETC'!$T9</f>
        <v>108080</v>
      </c>
      <c r="O9" s="17">
        <v>0</v>
      </c>
      <c r="P9" s="17">
        <f t="shared" si="0"/>
        <v>167600</v>
      </c>
      <c r="Q9" s="27">
        <v>61000</v>
      </c>
      <c r="R9" s="14">
        <f>+'[1]LIVREUR INTERNE ETC'!$Q9</f>
        <v>34000</v>
      </c>
      <c r="S9" s="14"/>
      <c r="T9" s="5">
        <f t="shared" si="1"/>
        <v>106600</v>
      </c>
    </row>
    <row r="10" spans="1:20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>
        <f>+B10*40+C10*80+D10*100+E10*160+F10*40+G10*80+H10*125+I10*160+K10*80+L10*100</f>
        <v>0</v>
      </c>
      <c r="N10" s="17">
        <f>+'[1]LIVREUR INTERNE ETC'!$T10</f>
        <v>0</v>
      </c>
      <c r="O10" s="17">
        <v>1785760</v>
      </c>
      <c r="P10" s="17">
        <f t="shared" si="0"/>
        <v>1785760</v>
      </c>
      <c r="Q10" s="27"/>
      <c r="R10" s="14">
        <f>+'[1]LIVREUR INTERNE ETC'!$Q10</f>
        <v>0</v>
      </c>
      <c r="S10" s="14"/>
      <c r="T10" s="5">
        <f t="shared" si="1"/>
        <v>0</v>
      </c>
    </row>
    <row r="11" spans="1:20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7">
        <f>+B11*40+C11*80+D11*100+E11*160+F11*40+G11*80+H11*125+I11*160+K11*80+L11*100</f>
        <v>0</v>
      </c>
      <c r="N11" s="17">
        <f>+'[1]LIVREUR INTERNE ETC'!$T11</f>
        <v>0</v>
      </c>
      <c r="O11" s="17">
        <v>1912780</v>
      </c>
      <c r="P11" s="17">
        <f t="shared" si="0"/>
        <v>1912780</v>
      </c>
      <c r="Q11" s="27"/>
      <c r="R11" s="14">
        <f>+'[1]LIVREUR INTERNE ETC'!$Q11</f>
        <v>0</v>
      </c>
      <c r="S11" s="14"/>
      <c r="T11" s="5">
        <f t="shared" si="1"/>
        <v>0</v>
      </c>
    </row>
    <row r="12" spans="1:20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7">
        <f>+B12*40+C12*80+D12*100+E12*160+F12*40+G12*80+H12*125+I12*160+K12*80+L12*100</f>
        <v>0</v>
      </c>
      <c r="N12" s="17">
        <f>+'[1]LIVREUR INTERNE ETC'!$T12</f>
        <v>0</v>
      </c>
      <c r="O12" s="17">
        <v>539260</v>
      </c>
      <c r="P12" s="17">
        <f t="shared" si="0"/>
        <v>539260</v>
      </c>
      <c r="Q12" s="27"/>
      <c r="R12" s="14">
        <f>+'[1]LIVREUR INTERNE ETC'!$Q12</f>
        <v>0</v>
      </c>
      <c r="S12" s="14"/>
      <c r="T12" s="5">
        <f t="shared" si="1"/>
        <v>0</v>
      </c>
    </row>
    <row r="13" spans="1:20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7">
        <f>+B13*40+C13*80+D13*100+E13*160+F13*40+G13*80+H13*125+I13*160+K13*80+L13*100</f>
        <v>0</v>
      </c>
      <c r="N13" s="17">
        <f>+'[1]LIVREUR INTERNE ETC'!$T13</f>
        <v>0</v>
      </c>
      <c r="O13" s="17">
        <v>811420</v>
      </c>
      <c r="P13" s="17">
        <f t="shared" si="0"/>
        <v>811420</v>
      </c>
      <c r="Q13" s="27"/>
      <c r="R13" s="14">
        <f>+'[1]LIVREUR INTERNE ETC'!$Q13</f>
        <v>0</v>
      </c>
      <c r="S13" s="14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2">
        <f t="shared" ref="B14:Q14" si="3">+SUM(B3:B13)</f>
        <v>400</v>
      </c>
      <c r="C14" s="22">
        <f t="shared" si="3"/>
        <v>4442</v>
      </c>
      <c r="D14" s="22">
        <f t="shared" si="3"/>
        <v>30</v>
      </c>
      <c r="E14" s="22">
        <f t="shared" si="3"/>
        <v>135</v>
      </c>
      <c r="F14" s="22">
        <f t="shared" si="3"/>
        <v>250</v>
      </c>
      <c r="G14" s="33">
        <f t="shared" si="3"/>
        <v>3787</v>
      </c>
      <c r="H14" s="22">
        <f t="shared" si="3"/>
        <v>0</v>
      </c>
      <c r="I14" s="22">
        <f t="shared" si="3"/>
        <v>151</v>
      </c>
      <c r="J14" s="22">
        <f t="shared" si="3"/>
        <v>0</v>
      </c>
      <c r="K14" s="22">
        <f t="shared" si="3"/>
        <v>0</v>
      </c>
      <c r="L14" s="22">
        <f t="shared" si="3"/>
        <v>0</v>
      </c>
      <c r="M14" s="19">
        <f t="shared" si="3"/>
        <v>726980</v>
      </c>
      <c r="N14" s="19">
        <f t="shared" si="3"/>
        <v>6399445</v>
      </c>
      <c r="O14" s="19">
        <f t="shared" si="3"/>
        <v>6719615</v>
      </c>
      <c r="P14" s="19">
        <f t="shared" si="3"/>
        <v>13846040</v>
      </c>
      <c r="Q14" s="22">
        <f t="shared" si="3"/>
        <v>1198100</v>
      </c>
      <c r="R14" s="22"/>
      <c r="S14" s="22"/>
      <c r="T14" s="9">
        <f>+SUM(T3:T13)</f>
        <v>5928325</v>
      </c>
    </row>
    <row r="17" spans="1:20" ht="15" customHeight="1" x14ac:dyDescent="0.25">
      <c r="A17" s="48" t="s">
        <v>59</v>
      </c>
      <c r="B17" s="49" t="s">
        <v>33</v>
      </c>
      <c r="C17" s="49"/>
      <c r="D17" s="49"/>
      <c r="E17" s="49"/>
      <c r="F17" s="49" t="s">
        <v>32</v>
      </c>
      <c r="G17" s="49"/>
      <c r="H17" s="49"/>
      <c r="I17" s="49"/>
      <c r="J17" s="49"/>
      <c r="K17" s="49" t="s">
        <v>6</v>
      </c>
      <c r="L17" s="49" t="s">
        <v>64</v>
      </c>
      <c r="M17" s="39" t="s">
        <v>8</v>
      </c>
      <c r="N17" s="39" t="s">
        <v>9</v>
      </c>
      <c r="O17" s="39" t="s">
        <v>10</v>
      </c>
      <c r="P17" s="39" t="s">
        <v>11</v>
      </c>
      <c r="Q17" s="42" t="s">
        <v>1</v>
      </c>
      <c r="R17" s="42" t="s">
        <v>46</v>
      </c>
      <c r="S17" s="42" t="s">
        <v>2</v>
      </c>
      <c r="T17" s="45" t="s">
        <v>30</v>
      </c>
    </row>
    <row r="18" spans="1:20" x14ac:dyDescent="0.25">
      <c r="A18" s="48"/>
      <c r="B18" s="49" t="s">
        <v>60</v>
      </c>
      <c r="C18" s="49"/>
      <c r="D18" s="25" t="s">
        <v>62</v>
      </c>
      <c r="E18" s="26" t="s">
        <v>61</v>
      </c>
      <c r="F18" s="49" t="s">
        <v>60</v>
      </c>
      <c r="G18" s="49"/>
      <c r="H18" s="13" t="s">
        <v>62</v>
      </c>
      <c r="I18" s="13" t="s">
        <v>63</v>
      </c>
      <c r="J18" s="13" t="s">
        <v>5</v>
      </c>
      <c r="K18" s="49"/>
      <c r="L18" s="49"/>
      <c r="M18" s="40"/>
      <c r="N18" s="40"/>
      <c r="O18" s="40"/>
      <c r="P18" s="40"/>
      <c r="Q18" s="43"/>
      <c r="R18" s="43"/>
      <c r="S18" s="43"/>
      <c r="T18" s="46"/>
    </row>
    <row r="19" spans="1:20" s="10" customFormat="1" x14ac:dyDescent="0.25">
      <c r="A19" s="48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41"/>
      <c r="N19" s="41"/>
      <c r="O19" s="41"/>
      <c r="P19" s="41"/>
      <c r="Q19" s="44"/>
      <c r="R19" s="44"/>
      <c r="S19" s="44"/>
      <c r="T19" s="47"/>
    </row>
    <row r="20" spans="1:20" ht="19.5" customHeight="1" x14ac:dyDescent="0.25">
      <c r="A20" s="48"/>
      <c r="B20" s="27">
        <v>200</v>
      </c>
      <c r="C20" s="27"/>
      <c r="D20" s="27"/>
      <c r="E20" s="27">
        <v>150</v>
      </c>
      <c r="F20" s="27"/>
      <c r="G20" s="27"/>
      <c r="H20" s="27"/>
      <c r="I20" s="27"/>
      <c r="J20" s="27"/>
      <c r="K20" s="27">
        <v>20</v>
      </c>
      <c r="L20" s="27"/>
      <c r="M20" s="17">
        <f>+B20*80+C20*115+D20*40+E20*40+F20*80+G20*115+H20*40+I20*40+K20*80+L20*500</f>
        <v>23600</v>
      </c>
      <c r="N20" s="17">
        <f>+'[1]LIVREUR INTERNE ETC'!$T20</f>
        <v>134905</v>
      </c>
      <c r="O20" s="17">
        <v>10400</v>
      </c>
      <c r="P20" s="17">
        <f>+SUM(M20:O20)</f>
        <v>168905</v>
      </c>
      <c r="Q20" s="27"/>
      <c r="R20" s="14">
        <f>+'[1]LIVREUR INTERNE ETC'!$Q20</f>
        <v>50100</v>
      </c>
      <c r="S20" s="14"/>
      <c r="T20" s="5">
        <f>+M20+N20-Q20</f>
        <v>158505</v>
      </c>
    </row>
    <row r="23" spans="1:20" ht="15" customHeight="1" x14ac:dyDescent="0.25">
      <c r="A23" s="48" t="s">
        <v>65</v>
      </c>
      <c r="B23" s="50" t="s">
        <v>66</v>
      </c>
      <c r="C23" s="51"/>
      <c r="D23" s="51"/>
      <c r="E23" s="51"/>
      <c r="F23" s="51"/>
      <c r="G23" s="51"/>
      <c r="H23" s="51"/>
      <c r="I23" s="51"/>
      <c r="J23" s="52"/>
      <c r="K23" s="49" t="s">
        <v>62</v>
      </c>
      <c r="L23" s="49" t="s">
        <v>74</v>
      </c>
      <c r="M23" s="39" t="s">
        <v>8</v>
      </c>
      <c r="N23" s="39" t="s">
        <v>9</v>
      </c>
      <c r="O23" s="39" t="s">
        <v>10</v>
      </c>
      <c r="P23" s="39" t="s">
        <v>11</v>
      </c>
      <c r="Q23" s="42" t="s">
        <v>1</v>
      </c>
      <c r="R23" s="42" t="s">
        <v>46</v>
      </c>
      <c r="S23" s="42" t="s">
        <v>2</v>
      </c>
      <c r="T23" s="45" t="s">
        <v>30</v>
      </c>
    </row>
    <row r="24" spans="1:20" ht="15" customHeight="1" x14ac:dyDescent="0.25">
      <c r="A24" s="48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9"/>
      <c r="L24" s="49"/>
      <c r="M24" s="40"/>
      <c r="N24" s="40"/>
      <c r="O24" s="40"/>
      <c r="P24" s="40"/>
      <c r="Q24" s="43"/>
      <c r="R24" s="43"/>
      <c r="S24" s="43"/>
      <c r="T24" s="46"/>
    </row>
    <row r="25" spans="1:20" s="10" customFormat="1" x14ac:dyDescent="0.25">
      <c r="A25" s="48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1"/>
      <c r="N25" s="41"/>
      <c r="O25" s="41"/>
      <c r="P25" s="41"/>
      <c r="Q25" s="44"/>
      <c r="R25" s="44"/>
      <c r="S25" s="44"/>
      <c r="T25" s="47"/>
    </row>
    <row r="26" spans="1:20" ht="21" customHeight="1" x14ac:dyDescent="0.25">
      <c r="A26" s="48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7">
        <f>+B26*80+C26*160+D26*350+E26*80+F26*80+G26*40+H26*40+I26*40+K26*40+L26*80</f>
        <v>0</v>
      </c>
      <c r="N26" s="17">
        <f>+'[1]LIVREUR INTERNE ETC'!$T26</f>
        <v>42000</v>
      </c>
      <c r="O26" s="17">
        <v>6000</v>
      </c>
      <c r="P26" s="17">
        <f>+SUM(M26:O26)</f>
        <v>48000</v>
      </c>
      <c r="Q26" s="27"/>
      <c r="R26" s="14">
        <f>+'[1]LIVREUR INTERNE ETC'!$Q26</f>
        <v>0</v>
      </c>
      <c r="S26" s="14"/>
      <c r="T26" s="5">
        <f>+M26+N26-Q26</f>
        <v>42000</v>
      </c>
    </row>
  </sheetData>
  <mergeCells count="38"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  <mergeCell ref="A17:A20"/>
    <mergeCell ref="M17:M19"/>
    <mergeCell ref="K17:K18"/>
    <mergeCell ref="B17:E17"/>
    <mergeCell ref="F17:J17"/>
    <mergeCell ref="F18:G18"/>
    <mergeCell ref="B18:C18"/>
    <mergeCell ref="L17:L18"/>
    <mergeCell ref="A23:A26"/>
    <mergeCell ref="K23:K24"/>
    <mergeCell ref="L23:L24"/>
    <mergeCell ref="M23:M25"/>
    <mergeCell ref="B23:J23"/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2026-07-27T10:50:30Z</cp:lastPrinted>
  <dcterms:created xsi:type="dcterms:W3CDTF">2026-07-15T15:57:08Z</dcterms:created>
  <dcterms:modified xsi:type="dcterms:W3CDTF">2026-07-27T12:58:03Z</dcterms:modified>
</cp:coreProperties>
</file>