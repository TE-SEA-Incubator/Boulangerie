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D0E0F57D-32E1-4094-A1EC-6C9C44C1DEB1}" xr6:coauthVersionLast="47" xr6:coauthVersionMax="47" xr10:uidLastSave="{00000000-0000-0000-0000-000000000000}"/>
  <bookViews>
    <workbookView xWindow="-120" yWindow="-120" windowWidth="29040" windowHeight="15720" activeTab="2" xr2:uid="{5D6EB5DB-6F96-4726-9DA2-64D6A6D9AE6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4" l="1"/>
  <c r="R26" i="4"/>
  <c r="R20" i="4"/>
  <c r="R4" i="4"/>
  <c r="R5" i="4"/>
  <c r="R6" i="4"/>
  <c r="R7" i="4"/>
  <c r="R8" i="4"/>
  <c r="R9" i="4"/>
  <c r="R10" i="4"/>
  <c r="R11" i="4"/>
  <c r="R12" i="4"/>
  <c r="R13" i="4"/>
  <c r="R3" i="4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K12" i="2"/>
  <c r="O15" i="1"/>
  <c r="O16" i="1"/>
  <c r="O17" i="1"/>
  <c r="O18" i="1"/>
  <c r="O19" i="1"/>
  <c r="O9" i="1"/>
  <c r="O10" i="1"/>
  <c r="O11" i="1"/>
  <c r="O12" i="1"/>
  <c r="O13" i="1"/>
  <c r="O14" i="1"/>
  <c r="K15" i="1"/>
  <c r="M4" i="4"/>
  <c r="J13" i="2"/>
  <c r="J12" i="2"/>
  <c r="M20" i="4"/>
  <c r="M26" i="4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9" i="4"/>
  <c r="M10" i="4"/>
  <c r="M3" i="4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N1" i="2"/>
  <c r="B18" i="2"/>
  <c r="L18" i="2"/>
  <c r="J6" i="2"/>
  <c r="J7" i="2"/>
  <c r="J16" i="2"/>
  <c r="N18" i="2"/>
  <c r="C18" i="2"/>
  <c r="D18" i="2"/>
  <c r="E18" i="2"/>
  <c r="F18" i="2"/>
  <c r="G18" i="2"/>
  <c r="H18" i="2"/>
  <c r="I18" i="2"/>
  <c r="J9" i="2"/>
  <c r="J15" i="2"/>
  <c r="J11" i="2"/>
  <c r="J8" i="2"/>
  <c r="J17" i="2"/>
  <c r="J5" i="2"/>
  <c r="J14" i="2"/>
  <c r="J10" i="2"/>
  <c r="J4" i="2"/>
  <c r="Q13" i="2" l="1"/>
  <c r="M13" i="2"/>
  <c r="Q12" i="2"/>
  <c r="M12" i="2"/>
  <c r="J20" i="1"/>
  <c r="M14" i="4"/>
  <c r="O20" i="1"/>
  <c r="M4" i="1"/>
  <c r="Q4" i="1"/>
  <c r="M5" i="1"/>
  <c r="Q5" i="1"/>
  <c r="M6" i="1"/>
  <c r="Q6" i="1"/>
  <c r="M7" i="1"/>
  <c r="Q7" i="1"/>
  <c r="M8" i="1"/>
  <c r="Q8" i="1"/>
  <c r="J18" i="2"/>
  <c r="N20" i="4"/>
  <c r="K7" i="2"/>
  <c r="K4" i="2"/>
  <c r="K16" i="1"/>
  <c r="K18" i="1"/>
  <c r="K12" i="1"/>
  <c r="K19" i="1"/>
  <c r="K11" i="1"/>
  <c r="K10" i="1"/>
  <c r="K9" i="1"/>
  <c r="K13" i="1"/>
  <c r="K14" i="1"/>
  <c r="K17" i="1"/>
  <c r="N26" i="4"/>
  <c r="K6" i="2"/>
  <c r="K16" i="2"/>
  <c r="K9" i="2"/>
  <c r="K15" i="2"/>
  <c r="K11" i="2"/>
  <c r="K8" i="2"/>
  <c r="K17" i="2"/>
  <c r="K5" i="2"/>
  <c r="K14" i="2"/>
  <c r="K10" i="2"/>
  <c r="N8" i="4"/>
  <c r="N3" i="4"/>
  <c r="N7" i="4"/>
  <c r="N5" i="4"/>
  <c r="N13" i="4"/>
  <c r="N6" i="4"/>
  <c r="N4" i="4"/>
  <c r="N9" i="4"/>
  <c r="N10" i="4"/>
  <c r="N12" i="4"/>
  <c r="N11" i="4"/>
  <c r="P20" i="4" l="1"/>
  <c r="T20" i="4"/>
  <c r="Q7" i="2"/>
  <c r="M7" i="2"/>
  <c r="Q4" i="2"/>
  <c r="M4" i="2"/>
  <c r="K18" i="2"/>
  <c r="Q16" i="1"/>
  <c r="M16" i="1"/>
  <c r="M18" i="1"/>
  <c r="Q18" i="1"/>
  <c r="Q12" i="1"/>
  <c r="M12" i="1"/>
  <c r="M19" i="1"/>
  <c r="Q19" i="1"/>
  <c r="Q11" i="1"/>
  <c r="M11" i="1"/>
  <c r="M10" i="1"/>
  <c r="Q10" i="1"/>
  <c r="K20" i="1"/>
  <c r="Q9" i="1"/>
  <c r="M9" i="1"/>
  <c r="Q13" i="1"/>
  <c r="M13" i="1"/>
  <c r="Q14" i="1"/>
  <c r="M14" i="1"/>
  <c r="Q17" i="1"/>
  <c r="M17" i="1"/>
  <c r="T26" i="4"/>
  <c r="P26" i="4"/>
  <c r="M6" i="2"/>
  <c r="Q6" i="2"/>
  <c r="M16" i="2"/>
  <c r="Q16" i="2"/>
  <c r="Q9" i="2"/>
  <c r="M9" i="2"/>
  <c r="M15" i="2"/>
  <c r="Q15" i="2"/>
  <c r="Q11" i="2"/>
  <c r="M11" i="2"/>
  <c r="Q8" i="2"/>
  <c r="M8" i="2"/>
  <c r="Q17" i="2"/>
  <c r="M17" i="2"/>
  <c r="Q5" i="2"/>
  <c r="M5" i="2"/>
  <c r="Q14" i="2"/>
  <c r="M14" i="2"/>
  <c r="Q10" i="2"/>
  <c r="M10" i="2"/>
  <c r="T8" i="4"/>
  <c r="P8" i="4"/>
  <c r="T3" i="4"/>
  <c r="P3" i="4"/>
  <c r="N14" i="4"/>
  <c r="P7" i="4"/>
  <c r="T7" i="4"/>
  <c r="T5" i="4"/>
  <c r="P5" i="4"/>
  <c r="T13" i="4"/>
  <c r="P13" i="4"/>
  <c r="T6" i="4"/>
  <c r="P6" i="4"/>
  <c r="T4" i="4"/>
  <c r="P4" i="4"/>
  <c r="P9" i="4"/>
  <c r="T9" i="4"/>
  <c r="T10" i="4"/>
  <c r="P10" i="4"/>
  <c r="T12" i="4"/>
  <c r="P12" i="4"/>
  <c r="T11" i="4"/>
  <c r="P11" i="4"/>
  <c r="Q20" i="1" l="1"/>
  <c r="P14" i="4"/>
  <c r="M20" i="1"/>
  <c r="T14" i="4"/>
  <c r="M18" i="2"/>
  <c r="Q18" i="2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<sst xmlns="http://schemas.openxmlformats.org/spreadsheetml/2006/main" count="129" uniqueCount="80">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</sst>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14" fontId="10" fillId="0" borderId="0" xfId="1" applyNumberFormat="1" applyFont="1" applyAlignment="1">
      <alignment horizontal="left"/>
    </xf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9" fillId="0" borderId="0" xfId="1" applyNumberFormat="1" applyFont="1" applyAlignment="1">
      <alignment horizontal="right"/>
    </xf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8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4" fillId="0" borderId="9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9" xfId="1" applyNumberFormat="1" applyFont="1" applyBorder="1" applyAlignment="1">
      <alignment horizontal="center" vertical="center" wrapText="1"/>
    </xf>
    <xf numFmtId="164" fontId="5" fillId="0" borderId="8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9" xfId="1" applyNumberFormat="1" applyFont="1" applyBorder="1" applyAlignment="1">
      <alignment horizontal="center" vertical="center" wrapText="1"/>
    </xf>
    <xf numFmtId="164" fontId="2" fillId="0" borderId="8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EXPLOITATION%20boulangerie%20et%20patisserie%202025\SUIVIE%20DISTRIBUTION%20MENSUEL\SORTIE%20160726.xlsx" TargetMode="External"/><Relationship Id="rId1" Type="http://schemas.openxmlformats.org/officeDocument/2006/relationships/externalLinkPath" Target="SORTIE%2016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CE CARREF"/>
      <sheetName val="LIVREUR EXTERNE"/>
      <sheetName val="LIVREUR INTERNE ETC"/>
    </sheetNames>
    <sheetDataSet>
      <sheetData sheetId="0">
        <row r="9">
          <cell r="N9"/>
          <cell r="Q9">
            <v>0</v>
          </cell>
        </row>
        <row r="10">
          <cell r="N10">
            <v>8000</v>
          </cell>
          <cell r="Q10">
            <v>2400</v>
          </cell>
        </row>
        <row r="11">
          <cell r="N11">
            <v>16000</v>
          </cell>
          <cell r="Q11">
            <v>-16000</v>
          </cell>
        </row>
        <row r="12">
          <cell r="N12">
            <v>20000</v>
          </cell>
          <cell r="Q12">
            <v>0</v>
          </cell>
        </row>
        <row r="13">
          <cell r="N13">
            <v>121500</v>
          </cell>
          <cell r="Q13">
            <v>660</v>
          </cell>
        </row>
        <row r="14">
          <cell r="N14">
            <v>26400</v>
          </cell>
          <cell r="Q14">
            <v>25000</v>
          </cell>
        </row>
        <row r="15">
          <cell r="N15"/>
          <cell r="Q15"/>
        </row>
        <row r="16">
          <cell r="N16">
            <v>16000</v>
          </cell>
          <cell r="Q16">
            <v>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N4">
            <v>115000</v>
          </cell>
          <cell r="Q4">
            <v>414540</v>
          </cell>
        </row>
        <row r="5">
          <cell r="N5"/>
          <cell r="Q5">
            <v>358090</v>
          </cell>
        </row>
        <row r="6">
          <cell r="N6"/>
          <cell r="Q6">
            <v>609525</v>
          </cell>
        </row>
        <row r="7">
          <cell r="N7">
            <v>106050</v>
          </cell>
          <cell r="Q7">
            <v>470725</v>
          </cell>
        </row>
        <row r="8">
          <cell r="N8">
            <v>119700</v>
          </cell>
          <cell r="Q8">
            <v>481370</v>
          </cell>
        </row>
        <row r="9">
          <cell r="N9">
            <v>68000</v>
          </cell>
          <cell r="Q9">
            <v>578665</v>
          </cell>
        </row>
        <row r="10">
          <cell r="N10">
            <v>119500</v>
          </cell>
          <cell r="Q10">
            <v>206890</v>
          </cell>
        </row>
        <row r="11">
          <cell r="N11">
            <v>113000</v>
          </cell>
          <cell r="Q11">
            <v>208145</v>
          </cell>
        </row>
        <row r="12">
          <cell r="N12">
            <v>42000</v>
          </cell>
          <cell r="Q12">
            <v>1695</v>
          </cell>
        </row>
        <row r="13">
          <cell r="N13">
            <v>300000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Q3"/>
          <cell r="T3">
            <v>3556310</v>
          </cell>
        </row>
        <row r="4">
          <cell r="Q4"/>
          <cell r="T4">
            <v>277610</v>
          </cell>
        </row>
        <row r="5">
          <cell r="Q5">
            <v>35000</v>
          </cell>
          <cell r="T5">
            <v>1397700</v>
          </cell>
        </row>
        <row r="6">
          <cell r="Q6">
            <v>574000</v>
          </cell>
          <cell r="T6">
            <v>760705</v>
          </cell>
        </row>
        <row r="7">
          <cell r="Q7">
            <v>0</v>
          </cell>
          <cell r="T7">
            <v>586320</v>
          </cell>
        </row>
        <row r="8">
          <cell r="Q8">
            <v>60500</v>
          </cell>
          <cell r="T8">
            <v>10940</v>
          </cell>
        </row>
        <row r="9">
          <cell r="Q9">
            <v>40000</v>
          </cell>
          <cell r="T9">
            <v>70720</v>
          </cell>
        </row>
        <row r="10">
          <cell r="Q10"/>
          <cell r="T10">
            <v>0</v>
          </cell>
        </row>
        <row r="11">
          <cell r="Q11"/>
          <cell r="T11">
            <v>0</v>
          </cell>
        </row>
        <row r="12">
          <cell r="Q12"/>
          <cell r="T12">
            <v>0</v>
          </cell>
        </row>
        <row r="13">
          <cell r="Q13"/>
          <cell r="T13">
            <v>0</v>
          </cell>
        </row>
        <row r="20">
          <cell r="Q20">
            <v>9800</v>
          </cell>
          <cell r="T20">
            <v>142905</v>
          </cell>
        </row>
        <row r="26">
          <cell r="Q26"/>
          <cell r="T26">
            <v>26000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2246-A011-4C2E-9E3A-7B91EF226BFE}">
  <dimension ref="A2:Q20"/>
  <sheetViews>
    <sheetView workbookViewId="0">
      <selection activeCell="J14" sqref="J14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7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42" t="s">
        <v>52</v>
      </c>
      <c r="B2" s="43" t="s">
        <v>7</v>
      </c>
      <c r="C2" s="43"/>
      <c r="D2" s="43"/>
      <c r="E2" s="43"/>
      <c r="F2" s="43"/>
      <c r="G2" s="43"/>
      <c r="H2" s="3" t="s">
        <v>6</v>
      </c>
      <c r="I2" s="13" t="s">
        <v>31</v>
      </c>
      <c r="J2" s="43" t="s">
        <v>8</v>
      </c>
      <c r="K2" s="43" t="s">
        <v>9</v>
      </c>
      <c r="L2" s="44" t="s">
        <v>10</v>
      </c>
      <c r="M2" s="44" t="s">
        <v>11</v>
      </c>
      <c r="N2" s="39" t="s">
        <v>1</v>
      </c>
      <c r="O2" s="44" t="s">
        <v>46</v>
      </c>
      <c r="P2" s="39" t="s">
        <v>2</v>
      </c>
      <c r="Q2" s="43" t="s">
        <v>30</v>
      </c>
    </row>
    <row r="3" spans="1:17" ht="15" customHeight="1" x14ac:dyDescent="0.25">
      <c r="A3" s="42"/>
      <c r="B3" s="3">
        <v>40</v>
      </c>
      <c r="C3" s="15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43"/>
      <c r="K3" s="43"/>
      <c r="L3" s="44"/>
      <c r="M3" s="44"/>
      <c r="N3" s="39"/>
      <c r="O3" s="44"/>
      <c r="P3" s="39"/>
      <c r="Q3" s="43"/>
    </row>
    <row r="4" spans="1:17" ht="21" customHeight="1" x14ac:dyDescent="0.25">
      <c r="A4" s="4" t="s">
        <v>53</v>
      </c>
      <c r="B4" s="33"/>
      <c r="C4" s="31"/>
      <c r="D4" s="33">
        <v>170</v>
      </c>
      <c r="E4" s="33"/>
      <c r="F4" s="33"/>
      <c r="G4" s="33"/>
      <c r="H4" s="33"/>
      <c r="I4" s="33"/>
      <c r="J4" s="5">
        <f t="shared" ref="J4:J14" si="0">+B4*40+C4*80+D4*100+E4*160+F4*125+H4*80+I4*100</f>
        <v>17000</v>
      </c>
      <c r="K4" s="5">
        <v>0</v>
      </c>
      <c r="L4" s="5">
        <v>0</v>
      </c>
      <c r="M4" s="5">
        <f t="shared" ref="M4:M14" si="1">+J4+K4+L4</f>
        <v>17000</v>
      </c>
      <c r="N4" s="33">
        <v>17000</v>
      </c>
      <c r="O4" s="5">
        <v>0</v>
      </c>
      <c r="P4" s="5"/>
      <c r="Q4" s="5">
        <f t="shared" ref="Q4:Q14" si="2">+J4+K4-N4</f>
        <v>0</v>
      </c>
    </row>
    <row r="5" spans="1:17" ht="21" customHeight="1" x14ac:dyDescent="0.25">
      <c r="A5" s="4" t="s">
        <v>54</v>
      </c>
      <c r="B5" s="33"/>
      <c r="C5" s="31"/>
      <c r="D5" s="33">
        <v>205</v>
      </c>
      <c r="E5" s="33">
        <v>12</v>
      </c>
      <c r="F5" s="33"/>
      <c r="G5" s="33"/>
      <c r="H5" s="33"/>
      <c r="I5" s="33"/>
      <c r="J5" s="5">
        <f t="shared" si="0"/>
        <v>22420</v>
      </c>
      <c r="K5" s="5">
        <v>0</v>
      </c>
      <c r="L5" s="5">
        <v>0</v>
      </c>
      <c r="M5" s="5">
        <f t="shared" si="1"/>
        <v>22420</v>
      </c>
      <c r="N5" s="33">
        <v>22750</v>
      </c>
      <c r="O5" s="5">
        <v>0</v>
      </c>
      <c r="P5" s="5"/>
      <c r="Q5" s="5">
        <f t="shared" si="2"/>
        <v>-330</v>
      </c>
    </row>
    <row r="6" spans="1:17" ht="21" customHeight="1" x14ac:dyDescent="0.25">
      <c r="A6" s="4" t="s">
        <v>55</v>
      </c>
      <c r="B6" s="33"/>
      <c r="C6" s="31">
        <v>325</v>
      </c>
      <c r="D6" s="33">
        <v>625</v>
      </c>
      <c r="E6" s="33">
        <v>10</v>
      </c>
      <c r="F6" s="33">
        <v>0</v>
      </c>
      <c r="G6" s="33"/>
      <c r="H6" s="33"/>
      <c r="I6" s="33"/>
      <c r="J6" s="5">
        <f t="shared" si="0"/>
        <v>90100</v>
      </c>
      <c r="K6" s="5">
        <v>0</v>
      </c>
      <c r="L6" s="5">
        <v>0</v>
      </c>
      <c r="M6" s="5">
        <f t="shared" si="1"/>
        <v>90100</v>
      </c>
      <c r="N6" s="33">
        <v>88475</v>
      </c>
      <c r="O6" s="5">
        <v>0</v>
      </c>
      <c r="P6" s="5"/>
      <c r="Q6" s="5">
        <f t="shared" si="2"/>
        <v>1625</v>
      </c>
    </row>
    <row r="7" spans="1:17" ht="21" customHeight="1" x14ac:dyDescent="0.25">
      <c r="A7" s="4" t="s">
        <v>56</v>
      </c>
      <c r="B7" s="33"/>
      <c r="C7" s="31"/>
      <c r="D7" s="33"/>
      <c r="E7" s="33"/>
      <c r="F7" s="33"/>
      <c r="G7" s="33"/>
      <c r="H7" s="33"/>
      <c r="I7" s="33"/>
      <c r="J7" s="5">
        <f t="shared" si="0"/>
        <v>0</v>
      </c>
      <c r="K7" s="5">
        <v>0</v>
      </c>
      <c r="L7" s="5">
        <v>0</v>
      </c>
      <c r="M7" s="5">
        <f t="shared" si="1"/>
        <v>0</v>
      </c>
      <c r="N7" s="33"/>
      <c r="O7" s="5">
        <v>0</v>
      </c>
      <c r="P7" s="5"/>
      <c r="Q7" s="5">
        <f t="shared" si="2"/>
        <v>0</v>
      </c>
    </row>
    <row r="8" spans="1:17" ht="21" customHeight="1" x14ac:dyDescent="0.25">
      <c r="A8" s="4" t="s">
        <v>57</v>
      </c>
      <c r="B8" s="33"/>
      <c r="C8" s="31"/>
      <c r="D8" s="33"/>
      <c r="E8" s="33"/>
      <c r="F8" s="33"/>
      <c r="G8" s="33"/>
      <c r="H8" s="33"/>
      <c r="I8" s="33"/>
      <c r="J8" s="5">
        <f t="shared" si="0"/>
        <v>0</v>
      </c>
      <c r="K8" s="5">
        <v>0</v>
      </c>
      <c r="L8" s="5">
        <v>0</v>
      </c>
      <c r="M8" s="5">
        <f t="shared" si="1"/>
        <v>0</v>
      </c>
      <c r="N8" s="33"/>
      <c r="O8" s="5">
        <v>0</v>
      </c>
      <c r="P8" s="5"/>
      <c r="Q8" s="5">
        <f t="shared" si="2"/>
        <v>0</v>
      </c>
    </row>
    <row r="9" spans="1:17" ht="21" customHeight="1" x14ac:dyDescent="0.25">
      <c r="A9" s="4" t="s">
        <v>23</v>
      </c>
      <c r="B9" s="33"/>
      <c r="C9" s="31">
        <v>6</v>
      </c>
      <c r="D9" s="33"/>
      <c r="E9" s="33"/>
      <c r="F9" s="33"/>
      <c r="G9" s="33"/>
      <c r="H9" s="33"/>
      <c r="I9" s="33"/>
      <c r="J9" s="5">
        <f t="shared" si="0"/>
        <v>480</v>
      </c>
      <c r="K9" s="5">
        <f>+'[1]AGENCE CARREF'!$Q9</f>
        <v>0</v>
      </c>
      <c r="L9" s="5">
        <v>0</v>
      </c>
      <c r="M9" s="5">
        <f t="shared" si="1"/>
        <v>480</v>
      </c>
      <c r="N9" s="33">
        <v>480</v>
      </c>
      <c r="O9" s="5">
        <f>+'[1]AGENCE CARREF'!$N9</f>
        <v>0</v>
      </c>
      <c r="P9" s="5"/>
      <c r="Q9" s="5">
        <f t="shared" si="2"/>
        <v>0</v>
      </c>
    </row>
    <row r="10" spans="1:17" ht="21" customHeight="1" x14ac:dyDescent="0.25">
      <c r="A10" s="4" t="s">
        <v>51</v>
      </c>
      <c r="B10" s="33"/>
      <c r="C10" s="31">
        <v>100</v>
      </c>
      <c r="D10" s="33"/>
      <c r="E10" s="33"/>
      <c r="F10" s="33"/>
      <c r="G10" s="33"/>
      <c r="H10" s="33">
        <v>25</v>
      </c>
      <c r="I10" s="33"/>
      <c r="J10" s="5">
        <f t="shared" si="0"/>
        <v>10000</v>
      </c>
      <c r="K10" s="5">
        <f>+'[1]AGENCE CARREF'!$Q10</f>
        <v>2400</v>
      </c>
      <c r="L10" s="5">
        <v>0</v>
      </c>
      <c r="M10" s="5">
        <f t="shared" si="1"/>
        <v>12400</v>
      </c>
      <c r="N10" s="33"/>
      <c r="O10" s="5">
        <f>+'[1]AGENCE CARREF'!$N10</f>
        <v>8000</v>
      </c>
      <c r="P10" s="5"/>
      <c r="Q10" s="5">
        <f t="shared" si="2"/>
        <v>12400</v>
      </c>
    </row>
    <row r="11" spans="1:17" ht="21" customHeight="1" x14ac:dyDescent="0.25">
      <c r="A11" s="4" t="s">
        <v>25</v>
      </c>
      <c r="B11" s="33"/>
      <c r="C11" s="31"/>
      <c r="D11" s="33"/>
      <c r="E11" s="33"/>
      <c r="F11" s="33"/>
      <c r="G11" s="33"/>
      <c r="H11" s="33"/>
      <c r="I11" s="33"/>
      <c r="J11" s="5">
        <f t="shared" si="0"/>
        <v>0</v>
      </c>
      <c r="K11" s="5">
        <f>+'[1]AGENCE CARREF'!$Q11</f>
        <v>-16000</v>
      </c>
      <c r="L11" s="5">
        <v>0</v>
      </c>
      <c r="M11" s="5">
        <f t="shared" si="1"/>
        <v>-16000</v>
      </c>
      <c r="N11" s="33">
        <v>0</v>
      </c>
      <c r="O11" s="5">
        <f>+'[1]AGENCE CARREF'!$N11</f>
        <v>16000</v>
      </c>
      <c r="P11" s="5"/>
      <c r="Q11" s="5">
        <f t="shared" si="2"/>
        <v>-16000</v>
      </c>
    </row>
    <row r="12" spans="1:17" ht="21" customHeight="1" x14ac:dyDescent="0.25">
      <c r="A12" s="4" t="s">
        <v>49</v>
      </c>
      <c r="B12" s="33"/>
      <c r="C12" s="31">
        <v>150</v>
      </c>
      <c r="D12" s="33"/>
      <c r="E12" s="33">
        <v>50</v>
      </c>
      <c r="F12" s="33"/>
      <c r="G12" s="33"/>
      <c r="H12" s="33"/>
      <c r="I12" s="33"/>
      <c r="J12" s="5">
        <f t="shared" si="0"/>
        <v>20000</v>
      </c>
      <c r="K12" s="5">
        <f>+'[1]AGENCE CARREF'!$Q12</f>
        <v>0</v>
      </c>
      <c r="L12" s="5">
        <v>1500</v>
      </c>
      <c r="M12" s="5">
        <f t="shared" si="1"/>
        <v>21500</v>
      </c>
      <c r="N12" s="33">
        <v>20000</v>
      </c>
      <c r="O12" s="5">
        <f>+'[1]AGENCE CARREF'!$N12</f>
        <v>20000</v>
      </c>
      <c r="P12" s="5"/>
      <c r="Q12" s="5">
        <f t="shared" si="2"/>
        <v>0</v>
      </c>
    </row>
    <row r="13" spans="1:17" ht="21" customHeight="1" x14ac:dyDescent="0.25">
      <c r="A13" s="4" t="s">
        <v>24</v>
      </c>
      <c r="B13" s="33"/>
      <c r="C13" s="31">
        <v>1819</v>
      </c>
      <c r="D13" s="33"/>
      <c r="E13" s="33"/>
      <c r="F13" s="33"/>
      <c r="G13" s="33"/>
      <c r="H13" s="33"/>
      <c r="I13" s="33"/>
      <c r="J13" s="5">
        <f t="shared" si="0"/>
        <v>145520</v>
      </c>
      <c r="K13" s="5">
        <f>+'[1]AGENCE CARREF'!$Q13</f>
        <v>660</v>
      </c>
      <c r="L13" s="5">
        <v>0</v>
      </c>
      <c r="M13" s="5">
        <f t="shared" si="1"/>
        <v>146180</v>
      </c>
      <c r="N13" s="33">
        <v>145300</v>
      </c>
      <c r="O13" s="5">
        <f>+'[1]AGENCE CARREF'!$N13</f>
        <v>121500</v>
      </c>
      <c r="P13" s="5"/>
      <c r="Q13" s="5">
        <f t="shared" si="2"/>
        <v>880</v>
      </c>
    </row>
    <row r="14" spans="1:17" ht="21" customHeight="1" x14ac:dyDescent="0.25">
      <c r="A14" s="4" t="s">
        <v>77</v>
      </c>
      <c r="B14" s="33"/>
      <c r="C14" s="31"/>
      <c r="D14" s="33">
        <v>0</v>
      </c>
      <c r="E14" s="33">
        <v>0</v>
      </c>
      <c r="F14" s="33"/>
      <c r="G14" s="33"/>
      <c r="H14" s="33"/>
      <c r="I14" s="33"/>
      <c r="J14" s="5">
        <f t="shared" si="0"/>
        <v>0</v>
      </c>
      <c r="K14" s="5">
        <f>+'[1]AGENCE CARREF'!$Q14</f>
        <v>25000</v>
      </c>
      <c r="L14" s="5">
        <v>0</v>
      </c>
      <c r="M14" s="5">
        <f t="shared" si="1"/>
        <v>25000</v>
      </c>
      <c r="N14" s="33">
        <v>25300</v>
      </c>
      <c r="O14" s="5">
        <f>+'[1]AGENCE CARREF'!$N14</f>
        <v>26400</v>
      </c>
      <c r="P14" s="5"/>
      <c r="Q14" s="5">
        <f t="shared" si="2"/>
        <v>-300</v>
      </c>
    </row>
    <row r="15" spans="1:17" ht="21" customHeight="1" x14ac:dyDescent="0.25">
      <c r="A15" s="4" t="s">
        <v>78</v>
      </c>
      <c r="B15" s="33"/>
      <c r="C15" s="31">
        <v>0</v>
      </c>
      <c r="D15" s="33"/>
      <c r="E15" s="33"/>
      <c r="F15" s="33"/>
      <c r="G15" s="33"/>
      <c r="H15" s="33"/>
      <c r="I15" s="33"/>
      <c r="J15" s="5"/>
      <c r="K15" s="5">
        <f>+'[1]AGENCE CARREF'!$Q15</f>
        <v>0</v>
      </c>
      <c r="L15" s="5"/>
      <c r="M15" s="5"/>
      <c r="N15" s="33"/>
      <c r="O15" s="5">
        <f>+'[1]AGENCE CARREF'!$N15</f>
        <v>0</v>
      </c>
      <c r="P15" s="5"/>
      <c r="Q15" s="5"/>
    </row>
    <row r="16" spans="1:17" ht="21" customHeight="1" x14ac:dyDescent="0.25">
      <c r="A16" s="36" t="s">
        <v>79</v>
      </c>
      <c r="B16" s="33"/>
      <c r="C16" s="31">
        <v>10</v>
      </c>
      <c r="D16" s="33"/>
      <c r="E16" s="33">
        <v>50</v>
      </c>
      <c r="F16" s="33"/>
      <c r="G16" s="33"/>
      <c r="H16" s="33"/>
      <c r="I16" s="33"/>
      <c r="J16" s="5">
        <f>+B16*40+C16*80+D16*100+E16*160+F16*125+H16*80+I16*100</f>
        <v>8800</v>
      </c>
      <c r="K16" s="5">
        <f>+'[1]AGENCE CARREF'!$Q16</f>
        <v>0</v>
      </c>
      <c r="L16" s="5">
        <v>24000</v>
      </c>
      <c r="M16" s="5">
        <f>+J16+K16+L16</f>
        <v>32800</v>
      </c>
      <c r="N16" s="33">
        <v>17600</v>
      </c>
      <c r="O16" s="5">
        <f>+'[1]AGENCE CARREF'!$N16</f>
        <v>16000</v>
      </c>
      <c r="P16" s="5"/>
      <c r="Q16" s="5">
        <f>+J16+K16-N16</f>
        <v>-8800</v>
      </c>
    </row>
    <row r="17" spans="1:17" ht="21" customHeight="1" x14ac:dyDescent="0.25">
      <c r="A17" s="6" t="s">
        <v>47</v>
      </c>
      <c r="B17" s="33"/>
      <c r="C17" s="31"/>
      <c r="D17" s="33"/>
      <c r="E17" s="33"/>
      <c r="F17" s="33"/>
      <c r="G17" s="33"/>
      <c r="H17" s="33"/>
      <c r="I17" s="33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33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33"/>
      <c r="C18" s="31"/>
      <c r="D18" s="33"/>
      <c r="E18" s="33"/>
      <c r="F18" s="33"/>
      <c r="G18" s="33"/>
      <c r="H18" s="33"/>
      <c r="I18" s="33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33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33"/>
      <c r="C19" s="31"/>
      <c r="D19" s="33"/>
      <c r="E19" s="33"/>
      <c r="F19" s="33"/>
      <c r="G19" s="33"/>
      <c r="H19" s="33"/>
      <c r="I19" s="33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33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0</v>
      </c>
      <c r="C20" s="25">
        <f t="shared" ref="C20:Q20" si="3">+SUM(C4:C19)</f>
        <v>2410</v>
      </c>
      <c r="D20" s="25">
        <f t="shared" si="3"/>
        <v>1000</v>
      </c>
      <c r="E20" s="9">
        <f t="shared" si="3"/>
        <v>122</v>
      </c>
      <c r="F20" s="9">
        <f t="shared" si="3"/>
        <v>0</v>
      </c>
      <c r="G20" s="9">
        <f t="shared" si="3"/>
        <v>0</v>
      </c>
      <c r="H20" s="9">
        <f t="shared" si="3"/>
        <v>25</v>
      </c>
      <c r="I20" s="9">
        <f t="shared" si="3"/>
        <v>0</v>
      </c>
      <c r="J20" s="9">
        <f t="shared" si="3"/>
        <v>314320</v>
      </c>
      <c r="K20" s="9">
        <f t="shared" si="3"/>
        <v>12060</v>
      </c>
      <c r="L20" s="9">
        <f t="shared" si="3"/>
        <v>89200</v>
      </c>
      <c r="M20" s="9">
        <f t="shared" si="3"/>
        <v>415580</v>
      </c>
      <c r="N20" s="9">
        <f t="shared" si="3"/>
        <v>336905</v>
      </c>
      <c r="O20" s="9">
        <f t="shared" si="3"/>
        <v>207900</v>
      </c>
      <c r="P20" s="9"/>
      <c r="Q20" s="9">
        <f t="shared" si="3"/>
        <v>-10525</v>
      </c>
    </row>
  </sheetData>
  <sheetProtection algorithmName="SHA-512" hashValue="NYUBZOrLWOjkH1IcUaKyan+e0z7OLFzNivzxoKX0gkCjyiU663u8Ey2GrryV2KMyuVQsEaxS7KL3Na0GBo7XCg==" saltValue="+WLpGORPupcV3Hd1ge7ErQ==" spinCount="100000" sheet="1" objects="1" scenarios="1"/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DA16-7FE0-4C5A-A533-75E901102AF0}">
  <dimension ref="A1:Q20"/>
  <sheetViews>
    <sheetView workbookViewId="0">
      <selection activeCell="B14" sqref="B14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2" bestFit="1" customWidth="1"/>
    <col min="13" max="13" width="11.7109375" style="22" bestFit="1" customWidth="1"/>
    <col min="14" max="14" width="9.5703125" style="27" bestFit="1" customWidth="1"/>
    <col min="15" max="15" width="8.85546875" style="27" customWidth="1"/>
    <col min="16" max="16" width="6.5703125" style="18" customWidth="1"/>
    <col min="17" max="17" width="12" bestFit="1" customWidth="1"/>
  </cols>
  <sheetData>
    <row r="1" spans="1:17" ht="15.75" x14ac:dyDescent="0.25">
      <c r="A1" s="41" t="s">
        <v>27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28" t="s">
        <v>28</v>
      </c>
      <c r="N1" s="23">
        <f ca="1">+TODAY()</f>
        <v>46230</v>
      </c>
      <c r="O1" s="23"/>
    </row>
    <row r="2" spans="1:17" s="1" customFormat="1" x14ac:dyDescent="0.25">
      <c r="A2" s="42" t="s">
        <v>0</v>
      </c>
      <c r="B2" s="43" t="s">
        <v>7</v>
      </c>
      <c r="C2" s="43"/>
      <c r="D2" s="43"/>
      <c r="E2" s="43"/>
      <c r="F2" s="43"/>
      <c r="G2" s="43"/>
      <c r="H2" s="3" t="s">
        <v>6</v>
      </c>
      <c r="I2" s="13" t="s">
        <v>31</v>
      </c>
      <c r="J2" s="43" t="s">
        <v>8</v>
      </c>
      <c r="K2" s="43" t="s">
        <v>9</v>
      </c>
      <c r="L2" s="44" t="s">
        <v>10</v>
      </c>
      <c r="M2" s="44" t="s">
        <v>11</v>
      </c>
      <c r="N2" s="39" t="s">
        <v>1</v>
      </c>
      <c r="O2" s="45" t="s">
        <v>46</v>
      </c>
      <c r="P2" s="40" t="s">
        <v>2</v>
      </c>
      <c r="Q2" s="38" t="s">
        <v>30</v>
      </c>
    </row>
    <row r="3" spans="1:17" s="1" customFormat="1" ht="30" x14ac:dyDescent="0.25">
      <c r="A3" s="42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43"/>
      <c r="K3" s="43"/>
      <c r="L3" s="44"/>
      <c r="M3" s="44"/>
      <c r="N3" s="39"/>
      <c r="O3" s="46"/>
      <c r="P3" s="40"/>
      <c r="Q3" s="38"/>
    </row>
    <row r="4" spans="1:17" ht="24.75" customHeight="1" x14ac:dyDescent="0.25">
      <c r="A4" s="4" t="s">
        <v>12</v>
      </c>
      <c r="B4" s="33"/>
      <c r="C4" s="33">
        <v>1280</v>
      </c>
      <c r="D4" s="33">
        <v>773</v>
      </c>
      <c r="E4" s="33"/>
      <c r="F4" s="33"/>
      <c r="G4" s="33"/>
      <c r="H4" s="33"/>
      <c r="I4" s="33"/>
      <c r="J4" s="5">
        <f t="shared" ref="J4:J17" si="0">+B4*40+C4*75+D4*100+E4*160+F4*160+H4*80+I4*100</f>
        <v>173300</v>
      </c>
      <c r="K4" s="5">
        <f>+'[1]LIVREUR EXTERNE'!$Q4</f>
        <v>414540</v>
      </c>
      <c r="L4" s="19">
        <v>2003045</v>
      </c>
      <c r="M4" s="19">
        <f t="shared" ref="M4:M17" si="1">+SUM(J4:L4)</f>
        <v>2590885</v>
      </c>
      <c r="N4" s="31">
        <v>85000</v>
      </c>
      <c r="O4" s="16">
        <f>+'[1]LIVREUR EXTERNE'!$N4</f>
        <v>115000</v>
      </c>
      <c r="P4" s="17"/>
      <c r="Q4" s="11">
        <f>+J4+K4-N4</f>
        <v>502840</v>
      </c>
    </row>
    <row r="5" spans="1:17" ht="24.75" customHeight="1" x14ac:dyDescent="0.25">
      <c r="A5" s="4" t="s">
        <v>19</v>
      </c>
      <c r="B5" s="33"/>
      <c r="C5" s="33">
        <v>370</v>
      </c>
      <c r="D5" s="33">
        <v>50</v>
      </c>
      <c r="E5" s="33"/>
      <c r="F5" s="33"/>
      <c r="G5" s="33"/>
      <c r="H5" s="33"/>
      <c r="I5" s="33"/>
      <c r="J5" s="5">
        <f t="shared" si="0"/>
        <v>32750</v>
      </c>
      <c r="K5" s="5">
        <f>+'[1]LIVREUR EXTERNE'!$Q5</f>
        <v>358090</v>
      </c>
      <c r="L5" s="19">
        <v>833780</v>
      </c>
      <c r="M5" s="19">
        <f t="shared" si="1"/>
        <v>1224620</v>
      </c>
      <c r="N5" s="31">
        <v>62000</v>
      </c>
      <c r="O5" s="16">
        <f>+'[1]LIVREUR EXTERNE'!$N5</f>
        <v>0</v>
      </c>
      <c r="P5" s="17"/>
      <c r="Q5" s="11">
        <f t="shared" ref="Q5:Q17" si="2">+J5+K5-N5</f>
        <v>328840</v>
      </c>
    </row>
    <row r="6" spans="1:17" ht="24.75" customHeight="1" x14ac:dyDescent="0.25">
      <c r="A6" s="4" t="s">
        <v>26</v>
      </c>
      <c r="B6" s="33"/>
      <c r="C6" s="33">
        <v>1090</v>
      </c>
      <c r="D6" s="33">
        <v>400</v>
      </c>
      <c r="E6" s="33">
        <v>5</v>
      </c>
      <c r="F6" s="33"/>
      <c r="G6" s="33"/>
      <c r="H6" s="33"/>
      <c r="I6" s="33"/>
      <c r="J6" s="5">
        <f t="shared" si="0"/>
        <v>122550</v>
      </c>
      <c r="K6" s="5">
        <f>+'[1]LIVREUR EXTERNE'!$Q6</f>
        <v>609525</v>
      </c>
      <c r="L6" s="19">
        <v>1466430</v>
      </c>
      <c r="M6" s="19">
        <f t="shared" si="1"/>
        <v>2198505</v>
      </c>
      <c r="N6" s="31">
        <v>400000</v>
      </c>
      <c r="O6" s="16">
        <f>+'[1]LIVREUR EXTERNE'!$N6</f>
        <v>0</v>
      </c>
      <c r="P6" s="17"/>
      <c r="Q6" s="11">
        <f t="shared" si="2"/>
        <v>332075</v>
      </c>
    </row>
    <row r="7" spans="1:17" ht="24.75" customHeight="1" x14ac:dyDescent="0.25">
      <c r="A7" s="4" t="s">
        <v>15</v>
      </c>
      <c r="B7" s="33"/>
      <c r="C7" s="33">
        <v>670</v>
      </c>
      <c r="D7" s="33">
        <v>625</v>
      </c>
      <c r="E7" s="33">
        <v>5</v>
      </c>
      <c r="F7" s="33"/>
      <c r="G7" s="33"/>
      <c r="H7" s="33"/>
      <c r="I7" s="33"/>
      <c r="J7" s="5">
        <f t="shared" si="0"/>
        <v>113550</v>
      </c>
      <c r="K7" s="5">
        <f>+'[1]LIVREUR EXTERNE'!$Q7</f>
        <v>470725</v>
      </c>
      <c r="L7" s="19">
        <v>1897085</v>
      </c>
      <c r="M7" s="19">
        <f t="shared" si="1"/>
        <v>2481360</v>
      </c>
      <c r="N7" s="31">
        <v>113550</v>
      </c>
      <c r="O7" s="16">
        <f>+'[1]LIVREUR EXTERNE'!$N7</f>
        <v>106050</v>
      </c>
      <c r="P7" s="17"/>
      <c r="Q7" s="11">
        <f t="shared" si="2"/>
        <v>470725</v>
      </c>
    </row>
    <row r="8" spans="1:17" ht="24.75" customHeight="1" x14ac:dyDescent="0.25">
      <c r="A8" s="4" t="s">
        <v>17</v>
      </c>
      <c r="B8" s="33"/>
      <c r="C8" s="33">
        <v>700</v>
      </c>
      <c r="D8" s="33">
        <v>775</v>
      </c>
      <c r="E8" s="33">
        <v>5</v>
      </c>
      <c r="F8" s="33"/>
      <c r="G8" s="33"/>
      <c r="H8" s="33"/>
      <c r="I8" s="33"/>
      <c r="J8" s="5">
        <f t="shared" si="0"/>
        <v>130800</v>
      </c>
      <c r="K8" s="5">
        <f>+'[1]LIVREUR EXTERNE'!$Q8</f>
        <v>481370</v>
      </c>
      <c r="L8" s="19">
        <v>1412040</v>
      </c>
      <c r="M8" s="19">
        <f t="shared" si="1"/>
        <v>2024210</v>
      </c>
      <c r="N8" s="31"/>
      <c r="O8" s="16">
        <f>+'[1]LIVREUR EXTERNE'!$N8</f>
        <v>119700</v>
      </c>
      <c r="P8" s="17"/>
      <c r="Q8" s="11">
        <f t="shared" si="2"/>
        <v>612170</v>
      </c>
    </row>
    <row r="9" spans="1:17" ht="24.75" customHeight="1" x14ac:dyDescent="0.25">
      <c r="A9" s="4" t="s">
        <v>29</v>
      </c>
      <c r="B9" s="33">
        <v>150</v>
      </c>
      <c r="C9" s="33">
        <v>800</v>
      </c>
      <c r="D9" s="33">
        <v>600</v>
      </c>
      <c r="E9" s="33"/>
      <c r="F9" s="33"/>
      <c r="G9" s="33"/>
      <c r="H9" s="33"/>
      <c r="I9" s="33"/>
      <c r="J9" s="5">
        <f t="shared" si="0"/>
        <v>126000</v>
      </c>
      <c r="K9" s="5">
        <f>+'[1]LIVREUR EXTERNE'!$Q9</f>
        <v>578665</v>
      </c>
      <c r="L9" s="19">
        <v>2175630</v>
      </c>
      <c r="M9" s="19">
        <f t="shared" si="1"/>
        <v>2880295</v>
      </c>
      <c r="N9" s="31">
        <v>189000</v>
      </c>
      <c r="O9" s="16">
        <f>+'[1]LIVREUR EXTERNE'!$N9</f>
        <v>68000</v>
      </c>
      <c r="P9" s="17"/>
      <c r="Q9" s="11">
        <f t="shared" si="2"/>
        <v>515665</v>
      </c>
    </row>
    <row r="10" spans="1:17" ht="24.75" customHeight="1" x14ac:dyDescent="0.25">
      <c r="A10" s="4" t="s">
        <v>21</v>
      </c>
      <c r="B10" s="33"/>
      <c r="C10" s="33">
        <v>660</v>
      </c>
      <c r="D10" s="33">
        <v>640</v>
      </c>
      <c r="E10" s="33">
        <v>28</v>
      </c>
      <c r="F10" s="33"/>
      <c r="G10" s="33"/>
      <c r="H10" s="33"/>
      <c r="I10" s="33"/>
      <c r="J10" s="5">
        <f t="shared" si="0"/>
        <v>117980</v>
      </c>
      <c r="K10" s="5">
        <f>+'[1]LIVREUR EXTERNE'!$Q10</f>
        <v>206890</v>
      </c>
      <c r="L10" s="19">
        <v>1337940</v>
      </c>
      <c r="M10" s="19">
        <f t="shared" si="1"/>
        <v>1662810</v>
      </c>
      <c r="N10" s="31">
        <v>110000</v>
      </c>
      <c r="O10" s="16">
        <f>+'[1]LIVREUR EXTERNE'!$N10</f>
        <v>119500</v>
      </c>
      <c r="P10" s="17"/>
      <c r="Q10" s="11">
        <f t="shared" si="2"/>
        <v>214870</v>
      </c>
    </row>
    <row r="11" spans="1:17" ht="24.75" customHeight="1" x14ac:dyDescent="0.25">
      <c r="A11" s="4" t="s">
        <v>14</v>
      </c>
      <c r="B11" s="34"/>
      <c r="C11" s="34">
        <v>415</v>
      </c>
      <c r="D11" s="34">
        <v>600</v>
      </c>
      <c r="E11" s="34">
        <v>18</v>
      </c>
      <c r="F11" s="34"/>
      <c r="G11" s="34"/>
      <c r="H11" s="34"/>
      <c r="I11" s="34"/>
      <c r="J11" s="7">
        <f t="shared" si="0"/>
        <v>94005</v>
      </c>
      <c r="K11" s="5">
        <f>+'[1]LIVREUR EXTERNE'!$Q11</f>
        <v>208145</v>
      </c>
      <c r="L11" s="20">
        <v>582810</v>
      </c>
      <c r="M11" s="20">
        <f t="shared" si="1"/>
        <v>884960</v>
      </c>
      <c r="N11" s="35">
        <v>103000</v>
      </c>
      <c r="O11" s="16">
        <f>+'[1]LIVREUR EXTERNE'!$N11</f>
        <v>113000</v>
      </c>
      <c r="P11" s="24"/>
      <c r="Q11" s="11">
        <f t="shared" si="2"/>
        <v>199150</v>
      </c>
    </row>
    <row r="12" spans="1:17" ht="24.75" customHeight="1" x14ac:dyDescent="0.25">
      <c r="A12" s="4" t="s">
        <v>75</v>
      </c>
      <c r="B12" s="34"/>
      <c r="C12" s="34">
        <v>110</v>
      </c>
      <c r="D12" s="34">
        <v>290</v>
      </c>
      <c r="E12" s="34">
        <v>25</v>
      </c>
      <c r="F12" s="34"/>
      <c r="G12" s="34"/>
      <c r="H12" s="34"/>
      <c r="I12" s="34"/>
      <c r="J12" s="7">
        <f t="shared" si="0"/>
        <v>41250</v>
      </c>
      <c r="K12" s="5">
        <f>+'[1]LIVREUR EXTERNE'!$Q12</f>
        <v>1695</v>
      </c>
      <c r="L12" s="20">
        <v>0</v>
      </c>
      <c r="M12" s="20">
        <f t="shared" si="1"/>
        <v>42945</v>
      </c>
      <c r="N12" s="35">
        <v>43000</v>
      </c>
      <c r="O12" s="16">
        <f>+'[1]LIVREUR EXTERNE'!$N12</f>
        <v>42000</v>
      </c>
      <c r="P12" s="24"/>
      <c r="Q12" s="11">
        <f t="shared" si="2"/>
        <v>-55</v>
      </c>
    </row>
    <row r="13" spans="1:17" ht="24.75" customHeight="1" x14ac:dyDescent="0.25">
      <c r="A13" s="4" t="s">
        <v>76</v>
      </c>
      <c r="B13" s="34">
        <v>637.5</v>
      </c>
      <c r="C13" s="34">
        <v>355</v>
      </c>
      <c r="D13" s="34">
        <v>450</v>
      </c>
      <c r="E13" s="34">
        <v>3</v>
      </c>
      <c r="F13" s="34"/>
      <c r="G13" s="34"/>
      <c r="H13" s="34"/>
      <c r="I13" s="34"/>
      <c r="J13" s="7">
        <f t="shared" si="0"/>
        <v>97605</v>
      </c>
      <c r="K13" s="5">
        <v>0</v>
      </c>
      <c r="L13" s="20">
        <v>0</v>
      </c>
      <c r="M13" s="20">
        <f t="shared" si="1"/>
        <v>97605</v>
      </c>
      <c r="N13" s="35"/>
      <c r="O13" s="16">
        <f>+'[1]LIVREUR EXTERNE'!$N13</f>
        <v>300000</v>
      </c>
      <c r="P13" s="24"/>
      <c r="Q13" s="11">
        <f t="shared" si="2"/>
        <v>97605</v>
      </c>
    </row>
    <row r="14" spans="1:17" ht="24.75" customHeight="1" x14ac:dyDescent="0.25">
      <c r="A14" s="6" t="s">
        <v>20</v>
      </c>
      <c r="B14" s="34"/>
      <c r="C14" s="34"/>
      <c r="D14" s="34"/>
      <c r="E14" s="34"/>
      <c r="F14" s="34"/>
      <c r="G14" s="34"/>
      <c r="H14" s="34"/>
      <c r="I14" s="34"/>
      <c r="J14" s="7">
        <f t="shared" si="0"/>
        <v>0</v>
      </c>
      <c r="K14" s="5">
        <f>+'[1]LIVREUR EXTERNE'!$Q14</f>
        <v>0</v>
      </c>
      <c r="L14" s="20">
        <v>467850</v>
      </c>
      <c r="M14" s="20">
        <f t="shared" si="1"/>
        <v>467850</v>
      </c>
      <c r="N14" s="35"/>
      <c r="O14" s="16">
        <f>+'[1]LIVREUR EXTERNE'!$N14</f>
        <v>0</v>
      </c>
      <c r="P14" s="24"/>
      <c r="Q14" s="11">
        <f t="shared" si="2"/>
        <v>0</v>
      </c>
    </row>
    <row r="15" spans="1:17" ht="24.75" customHeight="1" x14ac:dyDescent="0.25">
      <c r="A15" s="6" t="s">
        <v>13</v>
      </c>
      <c r="B15" s="34"/>
      <c r="C15" s="34"/>
      <c r="D15" s="34"/>
      <c r="E15" s="34"/>
      <c r="F15" s="34"/>
      <c r="G15" s="34"/>
      <c r="H15" s="34"/>
      <c r="I15" s="34"/>
      <c r="J15" s="7">
        <f t="shared" si="0"/>
        <v>0</v>
      </c>
      <c r="K15" s="5">
        <f>+'[1]LIVREUR EXTERNE'!$Q15</f>
        <v>0</v>
      </c>
      <c r="L15" s="20">
        <v>249900</v>
      </c>
      <c r="M15" s="20">
        <f t="shared" si="1"/>
        <v>249900</v>
      </c>
      <c r="N15" s="35"/>
      <c r="O15" s="16">
        <f>+'[1]LIVREUR EXTERNE'!$N15</f>
        <v>0</v>
      </c>
      <c r="P15" s="24"/>
      <c r="Q15" s="11">
        <f t="shared" si="2"/>
        <v>0</v>
      </c>
    </row>
    <row r="16" spans="1:17" ht="24.75" customHeight="1" x14ac:dyDescent="0.25">
      <c r="A16" s="6" t="s">
        <v>16</v>
      </c>
      <c r="B16" s="34"/>
      <c r="C16" s="34"/>
      <c r="D16" s="34"/>
      <c r="E16" s="34"/>
      <c r="F16" s="34"/>
      <c r="G16" s="34"/>
      <c r="H16" s="34"/>
      <c r="I16" s="34"/>
      <c r="J16" s="7">
        <f t="shared" si="0"/>
        <v>0</v>
      </c>
      <c r="K16" s="5">
        <f>+'[1]LIVREUR EXTERNE'!$Q16</f>
        <v>0</v>
      </c>
      <c r="L16" s="20">
        <v>541770</v>
      </c>
      <c r="M16" s="20">
        <f t="shared" si="1"/>
        <v>541770</v>
      </c>
      <c r="N16" s="35"/>
      <c r="O16" s="16">
        <f>+'[1]LIVREUR EXTERNE'!$N16</f>
        <v>0</v>
      </c>
      <c r="P16" s="24"/>
      <c r="Q16" s="11">
        <f t="shared" si="2"/>
        <v>0</v>
      </c>
    </row>
    <row r="17" spans="1:17" ht="24.75" customHeight="1" x14ac:dyDescent="0.25">
      <c r="A17" s="6" t="s">
        <v>18</v>
      </c>
      <c r="B17" s="34"/>
      <c r="C17" s="34"/>
      <c r="D17" s="34"/>
      <c r="E17" s="34"/>
      <c r="F17" s="34"/>
      <c r="G17" s="34"/>
      <c r="H17" s="34"/>
      <c r="I17" s="34"/>
      <c r="J17" s="7">
        <f t="shared" si="0"/>
        <v>0</v>
      </c>
      <c r="K17" s="5">
        <f>+'[1]LIVREUR EXTERNE'!$Q17</f>
        <v>0</v>
      </c>
      <c r="L17" s="20">
        <v>499585</v>
      </c>
      <c r="M17" s="20">
        <f t="shared" si="1"/>
        <v>499585</v>
      </c>
      <c r="N17" s="35"/>
      <c r="O17" s="16">
        <f>+'[1]LIVREUR EXTERNE'!$N17</f>
        <v>0</v>
      </c>
      <c r="P17" s="24"/>
      <c r="Q17" s="11">
        <f t="shared" si="2"/>
        <v>0</v>
      </c>
    </row>
    <row r="18" spans="1:17" s="10" customFormat="1" ht="24.75" customHeight="1" x14ac:dyDescent="0.25">
      <c r="A18" s="8" t="s">
        <v>22</v>
      </c>
      <c r="B18" s="9">
        <f t="shared" ref="B18:N18" si="3">+SUM(B4:B17)</f>
        <v>787.5</v>
      </c>
      <c r="C18" s="9">
        <f t="shared" si="3"/>
        <v>6450</v>
      </c>
      <c r="D18" s="9">
        <f t="shared" si="3"/>
        <v>5203</v>
      </c>
      <c r="E18" s="9">
        <f t="shared" si="3"/>
        <v>89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0</v>
      </c>
      <c r="J18" s="21">
        <f t="shared" si="3"/>
        <v>1049790</v>
      </c>
      <c r="K18" s="9">
        <f>+SUM(K4:K17)</f>
        <v>3329645</v>
      </c>
      <c r="L18" s="21">
        <f t="shared" si="3"/>
        <v>13467865</v>
      </c>
      <c r="M18" s="21">
        <f t="shared" si="3"/>
        <v>17847300</v>
      </c>
      <c r="N18" s="25">
        <f t="shared" si="3"/>
        <v>1105550</v>
      </c>
      <c r="O18" s="25"/>
      <c r="P18" s="26"/>
      <c r="Q18" s="12">
        <f>+SUM(Q4:Q17)</f>
        <v>3273885</v>
      </c>
    </row>
    <row r="20" spans="1:17" ht="15" customHeight="1" x14ac:dyDescent="0.25"/>
  </sheetData>
  <sheetProtection algorithmName="SHA-512" hashValue="i2jA2iPC0N7cl1Ucdi3kSa9zUS/DIwkoXxtPCcTzfn4Yhp/PioEjXaxH5MiGx+SFJ2sr+pERiAcIx4ubY96Pqg==" saltValue="+5aRgObtSdBiR0+GFRLCSA==" spinCount="100000" sheet="1" objects="1" scenarios="1"/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868F-61A7-45CE-BE88-A9CC4C776CEF}">
  <dimension ref="A1:T26"/>
  <sheetViews>
    <sheetView tabSelected="1" workbookViewId="0">
      <selection activeCell="M26" sqref="M26:O26"/>
    </sheetView>
  </sheetViews>
  <sheetFormatPr baseColWidth="10" defaultRowHeight="15" x14ac:dyDescent="0.25"/>
  <cols>
    <col min="1" max="1" width="23" customWidth="1"/>
    <col min="2" max="2" width="4.7109375" style="27" bestFit="1" customWidth="1"/>
    <col min="3" max="3" width="5.85546875" style="27" bestFit="1" customWidth="1"/>
    <col min="4" max="6" width="4.7109375" style="27" bestFit="1" customWidth="1"/>
    <col min="7" max="7" width="5.5703125" style="27" bestFit="1" customWidth="1"/>
    <col min="8" max="8" width="4.85546875" style="27" bestFit="1" customWidth="1"/>
    <col min="9" max="9" width="4.42578125" style="27" bestFit="1" customWidth="1"/>
    <col min="10" max="10" width="5.7109375" style="27" bestFit="1" customWidth="1"/>
    <col min="11" max="11" width="4.7109375" style="27" bestFit="1" customWidth="1"/>
    <col min="12" max="12" width="6" style="27" bestFit="1" customWidth="1"/>
    <col min="13" max="13" width="8.42578125" style="22" bestFit="1" customWidth="1"/>
    <col min="14" max="14" width="10.42578125" style="22" customWidth="1"/>
    <col min="15" max="15" width="10.28515625" style="22" bestFit="1" customWidth="1"/>
    <col min="16" max="16" width="12" style="22" customWidth="1"/>
    <col min="17" max="17" width="9.140625" style="27" bestFit="1" customWidth="1"/>
    <col min="18" max="18" width="8.140625" style="27" customWidth="1"/>
    <col min="19" max="19" width="7.140625" style="27" customWidth="1"/>
    <col min="20" max="20" width="12.5703125" style="2" customWidth="1"/>
  </cols>
  <sheetData>
    <row r="1" spans="1:20" s="14" customFormat="1" ht="15" customHeight="1" x14ac:dyDescent="0.25">
      <c r="A1" s="42" t="s">
        <v>0</v>
      </c>
      <c r="B1" s="39" t="s">
        <v>33</v>
      </c>
      <c r="C1" s="39"/>
      <c r="D1" s="39"/>
      <c r="E1" s="39"/>
      <c r="F1" s="39" t="s">
        <v>32</v>
      </c>
      <c r="G1" s="39"/>
      <c r="H1" s="39"/>
      <c r="I1" s="39"/>
      <c r="J1" s="39"/>
      <c r="K1" s="15" t="s">
        <v>6</v>
      </c>
      <c r="L1" s="15" t="s">
        <v>31</v>
      </c>
      <c r="M1" s="44" t="s">
        <v>8</v>
      </c>
      <c r="N1" s="44" t="s">
        <v>9</v>
      </c>
      <c r="O1" s="44" t="s">
        <v>10</v>
      </c>
      <c r="P1" s="44" t="s">
        <v>11</v>
      </c>
      <c r="Q1" s="39" t="s">
        <v>1</v>
      </c>
      <c r="R1" s="39" t="s">
        <v>46</v>
      </c>
      <c r="S1" s="39" t="s">
        <v>2</v>
      </c>
      <c r="T1" s="43" t="s">
        <v>30</v>
      </c>
    </row>
    <row r="2" spans="1:20" s="14" customFormat="1" x14ac:dyDescent="0.25">
      <c r="A2" s="42"/>
      <c r="B2" s="15">
        <v>40</v>
      </c>
      <c r="C2" s="15">
        <v>80</v>
      </c>
      <c r="D2" s="15">
        <v>100</v>
      </c>
      <c r="E2" s="15">
        <v>160</v>
      </c>
      <c r="F2" s="15">
        <v>40</v>
      </c>
      <c r="G2" s="15">
        <v>80</v>
      </c>
      <c r="H2" s="15">
        <v>125</v>
      </c>
      <c r="I2" s="15">
        <v>160</v>
      </c>
      <c r="J2" s="15" t="s">
        <v>5</v>
      </c>
      <c r="K2" s="15">
        <v>80</v>
      </c>
      <c r="L2" s="15">
        <v>100</v>
      </c>
      <c r="M2" s="44"/>
      <c r="N2" s="44"/>
      <c r="O2" s="44"/>
      <c r="P2" s="44"/>
      <c r="Q2" s="39"/>
      <c r="R2" s="39"/>
      <c r="S2" s="39"/>
      <c r="T2" s="43"/>
    </row>
    <row r="3" spans="1:20" ht="22.5" customHeight="1" x14ac:dyDescent="0.25">
      <c r="A3" s="4" t="s">
        <v>34</v>
      </c>
      <c r="B3" s="31"/>
      <c r="C3" s="31"/>
      <c r="D3" s="31"/>
      <c r="E3" s="31"/>
      <c r="F3" s="31">
        <v>150</v>
      </c>
      <c r="G3" s="31">
        <v>650</v>
      </c>
      <c r="H3" s="31"/>
      <c r="I3" s="31"/>
      <c r="J3" s="31"/>
      <c r="K3" s="31"/>
      <c r="L3" s="31"/>
      <c r="M3" s="19">
        <f>+B3*40+C3*80+D3*100+E3*160+F3*40+G3*80+H3*125+I3*160+K3*80+L3*100</f>
        <v>58000</v>
      </c>
      <c r="N3" s="19">
        <f>+'[1]LIVREUR INTERNE ETC'!$T3</f>
        <v>3556310</v>
      </c>
      <c r="O3" s="19">
        <v>295950</v>
      </c>
      <c r="P3" s="19">
        <f t="shared" ref="P3:P13" si="0">+M3+N3+O3</f>
        <v>3910260</v>
      </c>
      <c r="Q3" s="31">
        <v>355700</v>
      </c>
      <c r="R3" s="16">
        <f>+'[1]LIVREUR INTERNE ETC'!$Q3</f>
        <v>0</v>
      </c>
      <c r="S3" s="16"/>
      <c r="T3" s="5">
        <f t="shared" ref="T3:T13" si="1">+M3+N3-Q3</f>
        <v>3258610</v>
      </c>
    </row>
    <row r="4" spans="1:20" ht="22.5" customHeight="1" x14ac:dyDescent="0.25">
      <c r="A4" s="4" t="s">
        <v>40</v>
      </c>
      <c r="B4" s="31"/>
      <c r="C4" s="31">
        <v>55</v>
      </c>
      <c r="D4" s="31"/>
      <c r="E4" s="31"/>
      <c r="F4" s="31"/>
      <c r="G4" s="31"/>
      <c r="H4" s="31">
        <v>0</v>
      </c>
      <c r="I4" s="31"/>
      <c r="J4" s="31"/>
      <c r="K4" s="31"/>
      <c r="L4" s="31"/>
      <c r="M4" s="19">
        <f>+B4*40+C4*80+D4*125+E4*160+F4*40+G4*80+H4*125+I4*160+K4*80+L4*100</f>
        <v>4400</v>
      </c>
      <c r="N4" s="19">
        <f>+'[1]LIVREUR INTERNE ETC'!$T4</f>
        <v>277610</v>
      </c>
      <c r="O4" s="19">
        <v>476485</v>
      </c>
      <c r="P4" s="19">
        <f t="shared" si="0"/>
        <v>758495</v>
      </c>
      <c r="Q4" s="31"/>
      <c r="R4" s="16">
        <f>+'[1]LIVREUR INTERNE ETC'!$Q4</f>
        <v>0</v>
      </c>
      <c r="S4" s="16"/>
      <c r="T4" s="5">
        <f t="shared" si="1"/>
        <v>282010</v>
      </c>
    </row>
    <row r="5" spans="1:20" ht="22.5" customHeight="1" x14ac:dyDescent="0.25">
      <c r="A5" s="4" t="s">
        <v>37</v>
      </c>
      <c r="B5" s="31"/>
      <c r="C5" s="31">
        <v>480</v>
      </c>
      <c r="D5" s="31"/>
      <c r="E5" s="31"/>
      <c r="F5" s="31"/>
      <c r="G5" s="31"/>
      <c r="H5" s="31"/>
      <c r="I5" s="31"/>
      <c r="J5" s="31"/>
      <c r="K5" s="31"/>
      <c r="L5" s="31"/>
      <c r="M5" s="19">
        <f>+B5*40+C5*80+D5*100+E5*160+F5*40+G5*80+H5*125+I5*160+K5*80+L5*100</f>
        <v>38400</v>
      </c>
      <c r="N5" s="19">
        <f>+'[1]LIVREUR INTERNE ETC'!$T5</f>
        <v>1397700</v>
      </c>
      <c r="O5" s="19">
        <v>91600</v>
      </c>
      <c r="P5" s="19">
        <f t="shared" si="0"/>
        <v>1527700</v>
      </c>
      <c r="Q5" s="31">
        <v>37000</v>
      </c>
      <c r="R5" s="16">
        <f>+'[1]LIVREUR INTERNE ETC'!$Q5</f>
        <v>35000</v>
      </c>
      <c r="S5" s="16"/>
      <c r="T5" s="5">
        <f t="shared" si="1"/>
        <v>1399100</v>
      </c>
    </row>
    <row r="6" spans="1:20" ht="22.5" customHeight="1" x14ac:dyDescent="0.25">
      <c r="A6" s="4" t="s">
        <v>39</v>
      </c>
      <c r="B6" s="31">
        <v>300</v>
      </c>
      <c r="C6" s="31">
        <v>2015</v>
      </c>
      <c r="D6" s="31">
        <v>10</v>
      </c>
      <c r="E6" s="31">
        <v>70</v>
      </c>
      <c r="F6" s="31"/>
      <c r="G6" s="31">
        <v>840</v>
      </c>
      <c r="H6" s="31">
        <v>16</v>
      </c>
      <c r="I6" s="31">
        <v>40</v>
      </c>
      <c r="J6" s="31"/>
      <c r="K6" s="31"/>
      <c r="L6" s="31">
        <v>1</v>
      </c>
      <c r="M6" s="19">
        <f>+B6*40+C6*80+D6*100+E6*160+F6*40+G6*80+H6*125+I6*160+K6*80+L6*100</f>
        <v>261100</v>
      </c>
      <c r="N6" s="19">
        <f>+'[1]LIVREUR INTERNE ETC'!$T6</f>
        <v>760705</v>
      </c>
      <c r="O6" s="19">
        <v>785440</v>
      </c>
      <c r="P6" s="19">
        <f t="shared" si="0"/>
        <v>1807245</v>
      </c>
      <c r="Q6" s="31">
        <v>195500</v>
      </c>
      <c r="R6" s="16">
        <f>+'[1]LIVREUR INTERNE ETC'!$Q6</f>
        <v>574000</v>
      </c>
      <c r="S6" s="16"/>
      <c r="T6" s="5">
        <f t="shared" si="1"/>
        <v>826305</v>
      </c>
    </row>
    <row r="7" spans="1:20" ht="22.5" customHeight="1" x14ac:dyDescent="0.25">
      <c r="A7" s="4" t="s">
        <v>35</v>
      </c>
      <c r="B7" s="31"/>
      <c r="C7" s="31">
        <v>1525</v>
      </c>
      <c r="D7" s="31"/>
      <c r="E7" s="31">
        <v>125</v>
      </c>
      <c r="F7" s="31"/>
      <c r="G7" s="31">
        <v>850</v>
      </c>
      <c r="H7" s="31"/>
      <c r="I7" s="31">
        <v>79</v>
      </c>
      <c r="J7" s="31"/>
      <c r="K7" s="31">
        <v>100</v>
      </c>
      <c r="L7" s="31"/>
      <c r="M7" s="19">
        <f>+B7*40+C7*80+D7*100+E7*160+F7*40+G7*80+H7*125+I7*160+K7*80+L7*100</f>
        <v>230640</v>
      </c>
      <c r="N7" s="19">
        <f>+'[1]LIVREUR INTERNE ETC'!$T7</f>
        <v>586320</v>
      </c>
      <c r="O7" s="19">
        <v>20920</v>
      </c>
      <c r="P7" s="19">
        <f t="shared" si="0"/>
        <v>837880</v>
      </c>
      <c r="Q7" s="31">
        <v>440000</v>
      </c>
      <c r="R7" s="16">
        <f>+'[1]LIVREUR INTERNE ETC'!$Q7</f>
        <v>0</v>
      </c>
      <c r="S7" s="16"/>
      <c r="T7" s="5">
        <f t="shared" si="1"/>
        <v>376960</v>
      </c>
    </row>
    <row r="8" spans="1:20" ht="22.5" customHeight="1" x14ac:dyDescent="0.25">
      <c r="A8" s="4" t="s">
        <v>45</v>
      </c>
      <c r="B8" s="31"/>
      <c r="C8" s="31">
        <v>410</v>
      </c>
      <c r="D8" s="32"/>
      <c r="E8" s="31"/>
      <c r="F8" s="31"/>
      <c r="G8" s="31">
        <v>360</v>
      </c>
      <c r="H8" s="31"/>
      <c r="I8" s="31"/>
      <c r="J8" s="31"/>
      <c r="K8" s="31"/>
      <c r="L8" s="31"/>
      <c r="M8" s="19">
        <f>+B8*40+C8*75+D8*100+E8*160+F8*40+G8*75+H8*125+I8*160+K8*80+L8*100</f>
        <v>57750</v>
      </c>
      <c r="N8" s="19">
        <f>+'[1]LIVREUR INTERNE ETC'!$T8</f>
        <v>10940</v>
      </c>
      <c r="O8" s="19">
        <v>0</v>
      </c>
      <c r="P8" s="19">
        <f t="shared" si="0"/>
        <v>68690</v>
      </c>
      <c r="Q8" s="31">
        <v>57000</v>
      </c>
      <c r="R8" s="16">
        <f>+'[1]LIVREUR INTERNE ETC'!$Q8</f>
        <v>60500</v>
      </c>
      <c r="S8" s="16"/>
      <c r="T8" s="5">
        <f t="shared" si="1"/>
        <v>11690</v>
      </c>
    </row>
    <row r="9" spans="1:20" ht="22.5" customHeight="1" x14ac:dyDescent="0.25">
      <c r="A9" s="4" t="s">
        <v>41</v>
      </c>
      <c r="B9" s="31"/>
      <c r="C9" s="31">
        <v>255</v>
      </c>
      <c r="D9" s="31">
        <v>20</v>
      </c>
      <c r="E9" s="31"/>
      <c r="F9" s="31"/>
      <c r="G9" s="31">
        <v>125</v>
      </c>
      <c r="H9" s="31"/>
      <c r="I9" s="31"/>
      <c r="J9" s="31"/>
      <c r="K9" s="31"/>
      <c r="L9" s="31">
        <v>1</v>
      </c>
      <c r="M9" s="19">
        <f t="shared" ref="M9" si="2">+B9*40+C9*80+D9*100+E9*160+F9*40+G9*80+H9*125+I9*160+K9*80+L9*100</f>
        <v>32500</v>
      </c>
      <c r="N9" s="19">
        <f>+'[1]LIVREUR INTERNE ETC'!$T9</f>
        <v>70720</v>
      </c>
      <c r="O9" s="19">
        <v>0</v>
      </c>
      <c r="P9" s="19">
        <f t="shared" si="0"/>
        <v>103220</v>
      </c>
      <c r="Q9" s="31">
        <v>20000</v>
      </c>
      <c r="R9" s="16">
        <f>+'[1]LIVREUR INTERNE ETC'!$Q9</f>
        <v>40000</v>
      </c>
      <c r="S9" s="16"/>
      <c r="T9" s="5">
        <f t="shared" si="1"/>
        <v>83220</v>
      </c>
    </row>
    <row r="10" spans="1:20" ht="22.5" customHeight="1" x14ac:dyDescent="0.25">
      <c r="A10" s="6" t="s">
        <v>44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19">
        <f>+B10*40+C10*80+D10*100+E10*160+F10*40+G10*80+H10*125+I10*160+K10*80+L10*100</f>
        <v>0</v>
      </c>
      <c r="N10" s="19">
        <f>+'[1]LIVREUR INTERNE ETC'!$T10</f>
        <v>0</v>
      </c>
      <c r="O10" s="19">
        <v>1785760</v>
      </c>
      <c r="P10" s="19">
        <f t="shared" si="0"/>
        <v>1785760</v>
      </c>
      <c r="Q10" s="31"/>
      <c r="R10" s="16">
        <f>+'[1]LIVREUR INTERNE ETC'!$Q10</f>
        <v>0</v>
      </c>
      <c r="S10" s="16"/>
      <c r="T10" s="5">
        <f t="shared" si="1"/>
        <v>0</v>
      </c>
    </row>
    <row r="11" spans="1:20" ht="22.5" customHeight="1" x14ac:dyDescent="0.25">
      <c r="A11" s="6" t="s">
        <v>43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19">
        <f>+B11*40+C11*80+D11*100+E11*160+F11*40+G11*80+H11*125+I11*160+K11*80+L11*100</f>
        <v>0</v>
      </c>
      <c r="N11" s="19">
        <f>+'[1]LIVREUR INTERNE ETC'!$T11</f>
        <v>0</v>
      </c>
      <c r="O11" s="19">
        <v>1912780</v>
      </c>
      <c r="P11" s="19">
        <f t="shared" si="0"/>
        <v>1912780</v>
      </c>
      <c r="Q11" s="31"/>
      <c r="R11" s="16">
        <f>+'[1]LIVREUR INTERNE ETC'!$Q11</f>
        <v>0</v>
      </c>
      <c r="S11" s="16"/>
      <c r="T11" s="5">
        <f t="shared" si="1"/>
        <v>0</v>
      </c>
    </row>
    <row r="12" spans="1:20" ht="22.5" customHeight="1" x14ac:dyDescent="0.25">
      <c r="A12" s="6" t="s">
        <v>38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19">
        <f>+B12*40+C12*80+D12*100+E12*160+F12*40+G12*80+H12*125+I12*160+K12*80+L12*100</f>
        <v>0</v>
      </c>
      <c r="N12" s="19">
        <f>+'[1]LIVREUR INTERNE ETC'!$T12</f>
        <v>0</v>
      </c>
      <c r="O12" s="19">
        <v>539260</v>
      </c>
      <c r="P12" s="19">
        <f t="shared" si="0"/>
        <v>539260</v>
      </c>
      <c r="Q12" s="31"/>
      <c r="R12" s="16">
        <f>+'[1]LIVREUR INTERNE ETC'!$Q12</f>
        <v>0</v>
      </c>
      <c r="S12" s="16"/>
      <c r="T12" s="5">
        <f t="shared" si="1"/>
        <v>0</v>
      </c>
    </row>
    <row r="13" spans="1:20" ht="22.5" customHeight="1" x14ac:dyDescent="0.25">
      <c r="A13" s="6" t="s">
        <v>36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19">
        <f>+B13*40+C13*80+D13*100+E13*160+F13*40+G13*80+H13*125+I13*160+K13*80+L13*100</f>
        <v>0</v>
      </c>
      <c r="N13" s="19">
        <f>+'[1]LIVREUR INTERNE ETC'!$T13</f>
        <v>0</v>
      </c>
      <c r="O13" s="19">
        <v>811420</v>
      </c>
      <c r="P13" s="19">
        <f t="shared" si="0"/>
        <v>811420</v>
      </c>
      <c r="Q13" s="31"/>
      <c r="R13" s="16">
        <f>+'[1]LIVREUR INTERNE ETC'!$Q13</f>
        <v>0</v>
      </c>
      <c r="S13" s="16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5">
        <f t="shared" ref="B14:Q14" si="3">+SUM(B3:B13)</f>
        <v>300</v>
      </c>
      <c r="C14" s="25">
        <f t="shared" si="3"/>
        <v>4740</v>
      </c>
      <c r="D14" s="25">
        <f t="shared" si="3"/>
        <v>30</v>
      </c>
      <c r="E14" s="25">
        <f t="shared" si="3"/>
        <v>195</v>
      </c>
      <c r="F14" s="25">
        <f t="shared" si="3"/>
        <v>150</v>
      </c>
      <c r="G14" s="37">
        <f t="shared" si="3"/>
        <v>2825</v>
      </c>
      <c r="H14" s="25">
        <f t="shared" si="3"/>
        <v>16</v>
      </c>
      <c r="I14" s="25">
        <f t="shared" si="3"/>
        <v>119</v>
      </c>
      <c r="J14" s="25">
        <f t="shared" si="3"/>
        <v>0</v>
      </c>
      <c r="K14" s="25">
        <f t="shared" si="3"/>
        <v>100</v>
      </c>
      <c r="L14" s="25">
        <f t="shared" si="3"/>
        <v>2</v>
      </c>
      <c r="M14" s="21">
        <f t="shared" si="3"/>
        <v>682790</v>
      </c>
      <c r="N14" s="21">
        <f t="shared" si="3"/>
        <v>6660305</v>
      </c>
      <c r="O14" s="21">
        <f t="shared" si="3"/>
        <v>6719615</v>
      </c>
      <c r="P14" s="21">
        <f t="shared" si="3"/>
        <v>14062710</v>
      </c>
      <c r="Q14" s="25">
        <f t="shared" si="3"/>
        <v>1105200</v>
      </c>
      <c r="R14" s="25"/>
      <c r="S14" s="25"/>
      <c r="T14" s="9">
        <f>+SUM(T3:T13)</f>
        <v>6237895</v>
      </c>
    </row>
    <row r="17" spans="1:20" ht="15" customHeight="1" x14ac:dyDescent="0.25">
      <c r="A17" s="47" t="s">
        <v>59</v>
      </c>
      <c r="B17" s="39" t="s">
        <v>33</v>
      </c>
      <c r="C17" s="39"/>
      <c r="D17" s="39"/>
      <c r="E17" s="39"/>
      <c r="F17" s="39" t="s">
        <v>32</v>
      </c>
      <c r="G17" s="39"/>
      <c r="H17" s="39"/>
      <c r="I17" s="39"/>
      <c r="J17" s="39"/>
      <c r="K17" s="39" t="s">
        <v>6</v>
      </c>
      <c r="L17" s="39" t="s">
        <v>64</v>
      </c>
      <c r="M17" s="45" t="s">
        <v>8</v>
      </c>
      <c r="N17" s="45" t="s">
        <v>9</v>
      </c>
      <c r="O17" s="45" t="s">
        <v>10</v>
      </c>
      <c r="P17" s="45" t="s">
        <v>11</v>
      </c>
      <c r="Q17" s="52" t="s">
        <v>1</v>
      </c>
      <c r="R17" s="52" t="s">
        <v>46</v>
      </c>
      <c r="S17" s="52" t="s">
        <v>2</v>
      </c>
      <c r="T17" s="55" t="s">
        <v>30</v>
      </c>
    </row>
    <row r="18" spans="1:20" x14ac:dyDescent="0.25">
      <c r="A18" s="47"/>
      <c r="B18" s="39" t="s">
        <v>60</v>
      </c>
      <c r="C18" s="39"/>
      <c r="D18" s="29" t="s">
        <v>62</v>
      </c>
      <c r="E18" s="30" t="s">
        <v>61</v>
      </c>
      <c r="F18" s="39" t="s">
        <v>60</v>
      </c>
      <c r="G18" s="39"/>
      <c r="H18" s="15" t="s">
        <v>62</v>
      </c>
      <c r="I18" s="15" t="s">
        <v>63</v>
      </c>
      <c r="J18" s="15" t="s">
        <v>5</v>
      </c>
      <c r="K18" s="39"/>
      <c r="L18" s="39"/>
      <c r="M18" s="48"/>
      <c r="N18" s="48"/>
      <c r="O18" s="48"/>
      <c r="P18" s="48"/>
      <c r="Q18" s="53"/>
      <c r="R18" s="53"/>
      <c r="S18" s="53"/>
      <c r="T18" s="56"/>
    </row>
    <row r="19" spans="1:20" s="10" customFormat="1" x14ac:dyDescent="0.25">
      <c r="A19" s="47"/>
      <c r="B19" s="25">
        <v>80</v>
      </c>
      <c r="C19" s="25">
        <v>115</v>
      </c>
      <c r="D19" s="25">
        <v>40</v>
      </c>
      <c r="E19" s="25">
        <v>40</v>
      </c>
      <c r="F19" s="25">
        <v>80</v>
      </c>
      <c r="G19" s="25">
        <v>115</v>
      </c>
      <c r="H19" s="25">
        <v>40</v>
      </c>
      <c r="I19" s="25">
        <v>40</v>
      </c>
      <c r="J19" s="25"/>
      <c r="K19" s="25">
        <v>80</v>
      </c>
      <c r="L19" s="30">
        <v>500</v>
      </c>
      <c r="M19" s="46"/>
      <c r="N19" s="46"/>
      <c r="O19" s="46"/>
      <c r="P19" s="46"/>
      <c r="Q19" s="54"/>
      <c r="R19" s="54"/>
      <c r="S19" s="54"/>
      <c r="T19" s="57"/>
    </row>
    <row r="20" spans="1:20" ht="19.5" customHeight="1" x14ac:dyDescent="0.25">
      <c r="A20" s="47"/>
      <c r="B20" s="31"/>
      <c r="C20" s="31"/>
      <c r="D20" s="31"/>
      <c r="E20" s="31">
        <v>150</v>
      </c>
      <c r="F20" s="31">
        <v>50</v>
      </c>
      <c r="G20" s="31"/>
      <c r="H20" s="31"/>
      <c r="I20" s="31"/>
      <c r="J20" s="31"/>
      <c r="K20" s="31"/>
      <c r="L20" s="31"/>
      <c r="M20" s="19">
        <f>+B20*80+C20*115+D20*40+E20*40+F20*80+G20*115+H20*40+I20*40+K20*80+L20*500</f>
        <v>10000</v>
      </c>
      <c r="N20" s="19">
        <f>+'[1]LIVREUR INTERNE ETC'!$T20</f>
        <v>142905</v>
      </c>
      <c r="O20" s="19">
        <v>10400</v>
      </c>
      <c r="P20" s="19">
        <f>+SUM(M20:O20)</f>
        <v>163305</v>
      </c>
      <c r="Q20" s="31">
        <v>14300</v>
      </c>
      <c r="R20" s="16">
        <f>+'[1]LIVREUR INTERNE ETC'!$Q20</f>
        <v>9800</v>
      </c>
      <c r="S20" s="16"/>
      <c r="T20" s="5">
        <f>+M20+N20-Q20</f>
        <v>138605</v>
      </c>
    </row>
    <row r="23" spans="1:20" ht="15" customHeight="1" x14ac:dyDescent="0.25">
      <c r="A23" s="47" t="s">
        <v>65</v>
      </c>
      <c r="B23" s="49" t="s">
        <v>66</v>
      </c>
      <c r="C23" s="50"/>
      <c r="D23" s="50"/>
      <c r="E23" s="50"/>
      <c r="F23" s="50"/>
      <c r="G23" s="50"/>
      <c r="H23" s="50"/>
      <c r="I23" s="50"/>
      <c r="J23" s="51"/>
      <c r="K23" s="39" t="s">
        <v>62</v>
      </c>
      <c r="L23" s="39" t="s">
        <v>74</v>
      </c>
      <c r="M23" s="45" t="s">
        <v>8</v>
      </c>
      <c r="N23" s="45" t="s">
        <v>9</v>
      </c>
      <c r="O23" s="45" t="s">
        <v>10</v>
      </c>
      <c r="P23" s="45" t="s">
        <v>11</v>
      </c>
      <c r="Q23" s="52" t="s">
        <v>1</v>
      </c>
      <c r="R23" s="52" t="s">
        <v>46</v>
      </c>
      <c r="S23" s="52" t="s">
        <v>2</v>
      </c>
      <c r="T23" s="55" t="s">
        <v>30</v>
      </c>
    </row>
    <row r="24" spans="1:20" ht="15" customHeight="1" x14ac:dyDescent="0.25">
      <c r="A24" s="47"/>
      <c r="B24" s="30" t="s">
        <v>67</v>
      </c>
      <c r="C24" s="30" t="s">
        <v>68</v>
      </c>
      <c r="D24" s="29" t="s">
        <v>69</v>
      </c>
      <c r="E24" s="30" t="s">
        <v>70</v>
      </c>
      <c r="F24" s="30" t="s">
        <v>71</v>
      </c>
      <c r="G24" s="30" t="s">
        <v>72</v>
      </c>
      <c r="H24" s="29" t="s">
        <v>73</v>
      </c>
      <c r="I24" s="15" t="s">
        <v>63</v>
      </c>
      <c r="J24" s="15" t="s">
        <v>5</v>
      </c>
      <c r="K24" s="39"/>
      <c r="L24" s="39"/>
      <c r="M24" s="48"/>
      <c r="N24" s="48"/>
      <c r="O24" s="48"/>
      <c r="P24" s="48"/>
      <c r="Q24" s="53"/>
      <c r="R24" s="53"/>
      <c r="S24" s="53"/>
      <c r="T24" s="56"/>
    </row>
    <row r="25" spans="1:20" s="10" customFormat="1" x14ac:dyDescent="0.25">
      <c r="A25" s="47"/>
      <c r="B25" s="25">
        <v>80</v>
      </c>
      <c r="C25" s="25">
        <v>160</v>
      </c>
      <c r="D25" s="25">
        <v>350</v>
      </c>
      <c r="E25" s="25">
        <v>80</v>
      </c>
      <c r="F25" s="25">
        <v>80</v>
      </c>
      <c r="G25" s="25">
        <v>40</v>
      </c>
      <c r="H25" s="25">
        <v>40</v>
      </c>
      <c r="I25" s="25">
        <v>40</v>
      </c>
      <c r="J25" s="25"/>
      <c r="K25" s="25">
        <v>40</v>
      </c>
      <c r="L25" s="30">
        <v>80</v>
      </c>
      <c r="M25" s="46"/>
      <c r="N25" s="46"/>
      <c r="O25" s="46"/>
      <c r="P25" s="46"/>
      <c r="Q25" s="54"/>
      <c r="R25" s="54"/>
      <c r="S25" s="54"/>
      <c r="T25" s="57"/>
    </row>
    <row r="26" spans="1:20" ht="21" customHeight="1" x14ac:dyDescent="0.25">
      <c r="A26" s="47"/>
      <c r="B26" s="31">
        <v>0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19">
        <f>+B26*80+C26*115+D26*40+E26*40+F26*80+G26*115+H26*40+I26*40+K26*40+L26*500</f>
        <v>0</v>
      </c>
      <c r="N26" s="19">
        <f>+'[1]LIVREUR INTERNE ETC'!$T26</f>
        <v>26000</v>
      </c>
      <c r="O26" s="19">
        <v>6000</v>
      </c>
      <c r="P26" s="19">
        <f>+SUM(M26:O26)</f>
        <v>32000</v>
      </c>
      <c r="Q26" s="31"/>
      <c r="R26" s="16">
        <f>+'[1]LIVREUR INTERNE ETC'!$Q26</f>
        <v>0</v>
      </c>
      <c r="S26" s="16"/>
      <c r="T26" s="5">
        <f>+M26+N26-Q26</f>
        <v>26000</v>
      </c>
    </row>
  </sheetData>
  <sheetProtection algorithmName="SHA-512" hashValue="8UK+nEPl8uUav47X4RWwwKpZk6DMD+TCrYrGQI+AiPV8XzjJcyhMIioHlq5MLxnnUp2uCNnjCqifIkBD4xm9dg==" saltValue="2h2L4vCZg1sR4SMmbOMwMw==" spinCount="100000" sheet="1" objects="1" scenarios="1"/>
  <mergeCells count="38"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  <mergeCell ref="A23:A26"/>
    <mergeCell ref="K23:K24"/>
    <mergeCell ref="L23:L24"/>
    <mergeCell ref="M23:M25"/>
    <mergeCell ref="B23:J23"/>
    <mergeCell ref="A17:A20"/>
    <mergeCell ref="M17:M19"/>
    <mergeCell ref="K17:K18"/>
    <mergeCell ref="B17:E17"/>
    <mergeCell ref="F17:J17"/>
    <mergeCell ref="F18:G18"/>
    <mergeCell ref="B18:C18"/>
    <mergeCell ref="L17:L18"/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2026-07-20T14:01:24Z</cp:lastPrinted>
  <dcterms:created xsi:type="dcterms:W3CDTF">2026-07-15T15:57:08Z</dcterms:created>
  <dcterms:modified xsi:type="dcterms:W3CDTF">2026-07-27T10:05:15Z</dcterms:modified>
</cp:coreProperties>
</file>