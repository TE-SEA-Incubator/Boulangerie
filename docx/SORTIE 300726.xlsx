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55D4537D-B92A-42D8-98A8-927E01D23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</externalReferences>
  <definedNames>
    <definedName name="_xlnm._FilterDatabase" localSheetId="0" hidden="1">'AGENCE CARREF'!$A$3:$Q$21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4" i="2"/>
  <c r="J13" i="2"/>
  <c r="J5" i="2"/>
  <c r="J6" i="2"/>
  <c r="J7" i="2"/>
  <c r="J8" i="2"/>
  <c r="J9" i="2"/>
  <c r="J10" i="2"/>
  <c r="J11" i="2"/>
  <c r="J12" i="2"/>
  <c r="J4" i="2"/>
  <c r="O26" i="4"/>
  <c r="O20" i="4"/>
  <c r="S26" i="4"/>
  <c r="S13" i="4"/>
  <c r="S20" i="4"/>
  <c r="O4" i="4"/>
  <c r="O5" i="4"/>
  <c r="O6" i="4"/>
  <c r="O7" i="4"/>
  <c r="O8" i="4"/>
  <c r="O9" i="4"/>
  <c r="O10" i="4"/>
  <c r="O11" i="4"/>
  <c r="O12" i="4"/>
  <c r="O13" i="4"/>
  <c r="O3" i="4"/>
  <c r="S4" i="4"/>
  <c r="S5" i="4"/>
  <c r="S6" i="4"/>
  <c r="S7" i="4"/>
  <c r="S8" i="4"/>
  <c r="S9" i="4"/>
  <c r="S10" i="4"/>
  <c r="S11" i="4"/>
  <c r="S12" i="4"/>
  <c r="S3" i="4"/>
  <c r="K11" i="1"/>
  <c r="K12" i="1"/>
  <c r="K13" i="1"/>
  <c r="K14" i="1"/>
  <c r="K15" i="1"/>
  <c r="K16" i="1"/>
  <c r="K17" i="1"/>
  <c r="K18" i="1"/>
  <c r="K19" i="1"/>
  <c r="K20" i="1"/>
  <c r="K10" i="1"/>
  <c r="M10" i="1" s="1"/>
  <c r="O11" i="1"/>
  <c r="O12" i="1"/>
  <c r="O13" i="1"/>
  <c r="O14" i="1"/>
  <c r="O15" i="1"/>
  <c r="O16" i="1"/>
  <c r="O17" i="1"/>
  <c r="O18" i="1"/>
  <c r="O19" i="1"/>
  <c r="O20" i="1"/>
  <c r="O10" i="1"/>
  <c r="K14" i="2"/>
  <c r="K15" i="2"/>
  <c r="K16" i="2"/>
  <c r="K17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J13" i="1"/>
  <c r="L18" i="2"/>
  <c r="N20" i="4"/>
  <c r="N3" i="4"/>
  <c r="N4" i="4"/>
  <c r="N5" i="4"/>
  <c r="N6" i="4"/>
  <c r="N7" i="4"/>
  <c r="N8" i="4"/>
  <c r="J17" i="1"/>
  <c r="N9" i="4"/>
  <c r="N26" i="4"/>
  <c r="B18" i="2"/>
  <c r="J16" i="1"/>
  <c r="N10" i="4"/>
  <c r="M4" i="2" l="1"/>
  <c r="M13" i="1"/>
  <c r="Q13" i="1"/>
  <c r="U8" i="4"/>
  <c r="U7" i="4"/>
  <c r="Q4" i="2"/>
  <c r="U4" i="4"/>
  <c r="U5" i="4"/>
  <c r="U10" i="4"/>
  <c r="U9" i="4"/>
  <c r="U6" i="4"/>
  <c r="Q16" i="1"/>
  <c r="N1" i="2"/>
  <c r="M13" i="2"/>
  <c r="M12" i="2"/>
  <c r="J19" i="1"/>
  <c r="J12" i="1"/>
  <c r="M12" i="1" s="1"/>
  <c r="J20" i="1"/>
  <c r="J11" i="1"/>
  <c r="J10" i="1"/>
  <c r="J9" i="1"/>
  <c r="J14" i="1"/>
  <c r="J15" i="1"/>
  <c r="J4" i="1"/>
  <c r="J5" i="1"/>
  <c r="J6" i="1"/>
  <c r="J7" i="1"/>
  <c r="J8" i="1"/>
  <c r="Q8" i="1" s="1"/>
  <c r="J18" i="1"/>
  <c r="C21" i="1"/>
  <c r="D21" i="1"/>
  <c r="E21" i="1"/>
  <c r="F21" i="1"/>
  <c r="G21" i="1"/>
  <c r="H21" i="1"/>
  <c r="I21" i="1"/>
  <c r="L21" i="1"/>
  <c r="B21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1" i="1"/>
  <c r="N14" i="4"/>
  <c r="M6" i="1"/>
  <c r="Q6" i="1"/>
  <c r="M8" i="1"/>
  <c r="J18" i="2"/>
  <c r="N21" i="1" l="1"/>
  <c r="M5" i="1"/>
  <c r="Q5" i="1"/>
  <c r="Q4" i="1"/>
  <c r="M4" i="1"/>
  <c r="Q7" i="1"/>
  <c r="M7" i="1"/>
  <c r="Q12" i="2"/>
  <c r="O21" i="1" l="1"/>
  <c r="Q6" i="2"/>
  <c r="Q10" i="1"/>
  <c r="M19" i="1"/>
  <c r="Q19" i="1"/>
  <c r="Q7" i="2"/>
  <c r="Q12" i="1"/>
  <c r="Q15" i="2"/>
  <c r="M9" i="1"/>
  <c r="Q9" i="1"/>
  <c r="M11" i="1"/>
  <c r="Q11" i="1"/>
  <c r="M17" i="1"/>
  <c r="Q17" i="1"/>
  <c r="Q10" i="2"/>
  <c r="Q20" i="4"/>
  <c r="U20" i="4"/>
  <c r="Q26" i="4"/>
  <c r="U26" i="4"/>
  <c r="Q20" i="1"/>
  <c r="M20" i="1"/>
  <c r="Q8" i="2"/>
  <c r="Q11" i="2"/>
  <c r="Q17" i="2"/>
  <c r="Q9" i="2"/>
  <c r="Q18" i="1"/>
  <c r="M18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K21" i="1"/>
  <c r="M15" i="1" l="1"/>
  <c r="Q15" i="1"/>
  <c r="M18" i="2"/>
  <c r="Q14" i="1"/>
  <c r="M14" i="1"/>
  <c r="Q18" i="2"/>
  <c r="Q14" i="4"/>
  <c r="U14" i="4"/>
  <c r="M21" i="1" l="1"/>
  <c r="Q21" i="1"/>
</calcChain>
</file>

<file path=xl/sharedStrings.xml><?xml version="1.0" encoding="utf-8"?>
<sst xmlns="http://schemas.openxmlformats.org/spreadsheetml/2006/main" count="131" uniqueCount="82">
  <si>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</si>
  <si>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</si>
  <si>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</si>
  <si>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</si>
  <si>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</si>
  <si>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</si>
  <si>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</si>
  <si>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</si>
  <si>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</si>
  <si>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</si>
  <si>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</si>
  <si>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</si>
  <si>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</si>
  <si>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</si>
  <si>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</si>
  <si>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</si>
  <si>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</si>
  <si>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</si>
  <si>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</si>
  <si>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</si>
  <si>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</si>
  <si>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</si>
  <si>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</si>
  <si>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</si>
  <si>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</si>
  <si>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</si>
  <si>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</si>
  <si>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</si>
  <si>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</si>
  <si>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</si>
  <si>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</si>
  <si>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</si>
  <si>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</si>
  <si>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</si>
  <si>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</si>
  <si>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</si>
  <si>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</si>
  <si>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</si>
  <si>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</si>
  <si>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</si>
  <si>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</si>
  <si>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</si>
  <si>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</si>
  <si>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</si>
  <si>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</si>
  <si>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</si>
  <si>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</si>
  <si>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</si>
  <si>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</si>
  <si>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</si>
  <si>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</si>
  <si>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</si>
  <si>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</si>
  <si>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</si>
  <si>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</si>
  <si>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</si>
  <si>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</si>
  <si>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</si>
  <si>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</si>
  <si>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</si>
  <si>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</si>
  <si>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</si>
  <si>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</si>
  <si>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</si>
  <si>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</si>
  <si>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</si>
  <si>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</si>
  <si>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</si>
  <si>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</si>
  <si>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</si>
  <si>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</si>
  <si>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</si>
  <si>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</si>
  <si>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</si>
  <si>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</si>
  <si>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</si>
  <si>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</si>
  <si>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</si>
  <si>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</si>
  <si>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</si>
  <si>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</si>
  <si>
    <t>ATANGANA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</si>
</sst>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9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2900</v>
          </cell>
        </row>
        <row r="11">
          <cell r="N11"/>
          <cell r="Q11">
            <v>78960</v>
          </cell>
        </row>
        <row r="12">
          <cell r="N12">
            <v>20000</v>
          </cell>
          <cell r="Q12">
            <v>10170</v>
          </cell>
        </row>
        <row r="13">
          <cell r="N13">
            <v>46750</v>
          </cell>
          <cell r="Q13">
            <v>-46750</v>
          </cell>
        </row>
        <row r="14">
          <cell r="N14">
            <v>115900</v>
          </cell>
          <cell r="Q14">
            <v>-999165</v>
          </cell>
        </row>
        <row r="15">
          <cell r="N15">
            <v>21050</v>
          </cell>
          <cell r="Q15">
            <v>-58665</v>
          </cell>
        </row>
        <row r="16">
          <cell r="N16"/>
          <cell r="Q16">
            <v>445000</v>
          </cell>
        </row>
        <row r="17">
          <cell r="N17">
            <v>18400</v>
          </cell>
          <cell r="Q17">
            <v>-10400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  <row r="20">
          <cell r="N20"/>
          <cell r="Q20">
            <v>0</v>
          </cell>
        </row>
      </sheetData>
      <sheetData sheetId="1">
        <row r="4">
          <cell r="O4">
            <v>21600</v>
          </cell>
          <cell r="Q4">
            <v>437880</v>
          </cell>
        </row>
        <row r="5">
          <cell r="O5">
            <v>0</v>
          </cell>
          <cell r="Q5">
            <v>372590</v>
          </cell>
        </row>
        <row r="6">
          <cell r="O6">
            <v>0</v>
          </cell>
          <cell r="Q6">
            <v>431280</v>
          </cell>
        </row>
        <row r="7">
          <cell r="O7">
            <v>200750</v>
          </cell>
          <cell r="Q7">
            <v>507510</v>
          </cell>
        </row>
        <row r="8">
          <cell r="O8">
            <v>0</v>
          </cell>
          <cell r="Q8">
            <v>549195</v>
          </cell>
        </row>
        <row r="9">
          <cell r="O9">
            <v>85000</v>
          </cell>
          <cell r="Q9">
            <v>675860</v>
          </cell>
        </row>
        <row r="10">
          <cell r="O10">
            <v>72825</v>
          </cell>
          <cell r="Q10">
            <v>222095</v>
          </cell>
        </row>
        <row r="11">
          <cell r="O11">
            <v>0</v>
          </cell>
          <cell r="Q11">
            <v>242520</v>
          </cell>
        </row>
        <row r="12">
          <cell r="O12">
            <v>41000</v>
          </cell>
          <cell r="Q12">
            <v>-31860</v>
          </cell>
        </row>
        <row r="13">
          <cell r="O13">
            <v>0</v>
          </cell>
          <cell r="Q13">
            <v>217880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</sheetData>
      <sheetData sheetId="2">
        <row r="3">
          <cell r="R3">
            <v>184200</v>
          </cell>
          <cell r="U3">
            <v>3220530</v>
          </cell>
        </row>
        <row r="4">
          <cell r="R4"/>
          <cell r="U4">
            <v>263435</v>
          </cell>
        </row>
        <row r="5">
          <cell r="R5">
            <v>31500</v>
          </cell>
          <cell r="U5">
            <v>1510460</v>
          </cell>
        </row>
        <row r="6">
          <cell r="R6"/>
          <cell r="U6">
            <v>760165</v>
          </cell>
        </row>
        <row r="7">
          <cell r="R7">
            <v>153500</v>
          </cell>
          <cell r="U7">
            <v>206760</v>
          </cell>
        </row>
        <row r="8">
          <cell r="R8">
            <v>68000</v>
          </cell>
          <cell r="U8">
            <v>38635</v>
          </cell>
        </row>
        <row r="9">
          <cell r="R9">
            <v>36000</v>
          </cell>
          <cell r="U9">
            <v>162360</v>
          </cell>
        </row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20">
          <cell r="R20">
            <v>51300</v>
          </cell>
          <cell r="U20">
            <v>171405</v>
          </cell>
        </row>
        <row r="26">
          <cell r="R26"/>
          <cell r="U26">
            <v>42000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1"/>
  <sheetViews>
    <sheetView tabSelected="1" workbookViewId="0">
      <selection activeCell="N11" sqref="N11"/>
    </sheetView>
  </sheetViews>
  <sheetFormatPr baseColWidth="10" defaultRowHeight="15" x14ac:dyDescent="0.25"/>
  <cols>
    <col min="1" max="1" width="16.5703125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2" t="s">
        <v>52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3" t="s">
        <v>2</v>
      </c>
      <c r="Q2" s="46" t="s">
        <v>30</v>
      </c>
    </row>
    <row r="3" spans="1:17" ht="15" customHeight="1" x14ac:dyDescent="0.25">
      <c r="A3" s="42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3"/>
      <c r="Q3" s="46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6" si="0">+B4*40+C4*80+D4*100+E4*160+F4*125+H4*80+I4*100</f>
        <v>0</v>
      </c>
      <c r="K4" s="5"/>
      <c r="L4" s="5">
        <v>0</v>
      </c>
      <c r="M4" s="5">
        <f t="shared" ref="M4:M15" si="1">+J4+K4+L4</f>
        <v>0</v>
      </c>
      <c r="N4" s="29"/>
      <c r="O4" s="5"/>
      <c r="P4" s="5"/>
      <c r="Q4" s="5">
        <f t="shared" ref="Q4:Q16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2900</v>
      </c>
      <c r="L10" s="5">
        <v>0</v>
      </c>
      <c r="M10" s="5">
        <f>+J10+K10+L10</f>
        <v>10900</v>
      </c>
      <c r="N10" s="29">
        <v>8000</v>
      </c>
      <c r="O10" s="5">
        <f>+'[1]AGENCE CARREF'!$N10</f>
        <v>8000</v>
      </c>
      <c r="P10" s="5"/>
      <c r="Q10" s="5">
        <f t="shared" si="2"/>
        <v>2900</v>
      </c>
    </row>
    <row r="11" spans="1:17" ht="21" customHeight="1" x14ac:dyDescent="0.25">
      <c r="A11" s="4" t="s">
        <v>25</v>
      </c>
      <c r="B11" s="29"/>
      <c r="C11" s="29">
        <v>80</v>
      </c>
      <c r="D11" s="29"/>
      <c r="E11" s="29"/>
      <c r="F11" s="29"/>
      <c r="G11" s="29"/>
      <c r="H11" s="29"/>
      <c r="I11" s="29"/>
      <c r="J11" s="5">
        <f t="shared" si="0"/>
        <v>6400</v>
      </c>
      <c r="K11" s="5">
        <f>+'[1]AGENCE CARREF'!$Q11</f>
        <v>78960</v>
      </c>
      <c r="L11" s="5">
        <v>0</v>
      </c>
      <c r="M11" s="5">
        <f t="shared" si="1"/>
        <v>85360</v>
      </c>
      <c r="N11" s="29"/>
      <c r="O11" s="5">
        <f>+'[1]AGENCE CARREF'!$N11</f>
        <v>0</v>
      </c>
      <c r="P11" s="5"/>
      <c r="Q11" s="5">
        <f t="shared" si="2"/>
        <v>85360</v>
      </c>
    </row>
    <row r="12" spans="1:17" ht="21" customHeight="1" x14ac:dyDescent="0.25">
      <c r="A12" s="4" t="s">
        <v>49</v>
      </c>
      <c r="B12" s="29"/>
      <c r="C12" s="29">
        <v>125</v>
      </c>
      <c r="D12" s="29"/>
      <c r="E12" s="29">
        <v>50</v>
      </c>
      <c r="F12" s="29"/>
      <c r="G12" s="29"/>
      <c r="H12" s="29"/>
      <c r="I12" s="29"/>
      <c r="J12" s="5">
        <f t="shared" si="0"/>
        <v>18000</v>
      </c>
      <c r="K12" s="5">
        <f>+'[1]AGENCE CARREF'!$Q12</f>
        <v>10170</v>
      </c>
      <c r="L12" s="5">
        <v>1500</v>
      </c>
      <c r="M12" s="5">
        <f>+J12+K12+L12</f>
        <v>29670</v>
      </c>
      <c r="N12" s="29">
        <v>18000</v>
      </c>
      <c r="O12" s="5">
        <f>+'[1]AGENCE CARREF'!$N12</f>
        <v>20000</v>
      </c>
      <c r="P12" s="5"/>
      <c r="Q12" s="5">
        <f t="shared" si="2"/>
        <v>10170</v>
      </c>
    </row>
    <row r="13" spans="1:17" ht="21" customHeight="1" x14ac:dyDescent="0.25">
      <c r="A13" s="4" t="s">
        <v>81</v>
      </c>
      <c r="B13" s="29"/>
      <c r="C13" s="29">
        <v>178</v>
      </c>
      <c r="D13" s="29">
        <v>325</v>
      </c>
      <c r="E13" s="29"/>
      <c r="F13" s="29"/>
      <c r="G13" s="29"/>
      <c r="H13" s="29"/>
      <c r="I13" s="29"/>
      <c r="J13" s="5">
        <f t="shared" si="0"/>
        <v>46740</v>
      </c>
      <c r="K13" s="5">
        <f>+'[1]AGENCE CARREF'!$Q13</f>
        <v>-46750</v>
      </c>
      <c r="L13" s="5"/>
      <c r="M13" s="5">
        <f>+J13+K13+L13</f>
        <v>-10</v>
      </c>
      <c r="N13" s="29">
        <v>51250</v>
      </c>
      <c r="O13" s="5">
        <f>+'[1]AGENCE CARREF'!$N13</f>
        <v>46750</v>
      </c>
      <c r="P13" s="5"/>
      <c r="Q13" s="5">
        <f t="shared" si="2"/>
        <v>-51260</v>
      </c>
    </row>
    <row r="14" spans="1:17" ht="21" customHeight="1" x14ac:dyDescent="0.25">
      <c r="A14" s="4" t="s">
        <v>24</v>
      </c>
      <c r="B14" s="29"/>
      <c r="C14" s="27"/>
      <c r="D14" s="29"/>
      <c r="E14" s="29"/>
      <c r="F14" s="29"/>
      <c r="G14" s="29"/>
      <c r="H14" s="29"/>
      <c r="I14" s="29"/>
      <c r="J14" s="5">
        <f t="shared" si="0"/>
        <v>0</v>
      </c>
      <c r="K14" s="5">
        <f>+'[1]AGENCE CARREF'!$Q14</f>
        <v>-999165</v>
      </c>
      <c r="L14" s="5">
        <v>0</v>
      </c>
      <c r="M14" s="5">
        <f t="shared" si="1"/>
        <v>-999165</v>
      </c>
      <c r="N14" s="29">
        <v>128750</v>
      </c>
      <c r="O14" s="5">
        <f>+'[1]AGENCE CARREF'!$N14</f>
        <v>115900</v>
      </c>
      <c r="P14" s="5"/>
      <c r="Q14" s="5">
        <f t="shared" si="2"/>
        <v>-1127915</v>
      </c>
    </row>
    <row r="15" spans="1:17" ht="21" customHeight="1" x14ac:dyDescent="0.25">
      <c r="A15" s="38" t="s">
        <v>77</v>
      </c>
      <c r="B15" s="29">
        <v>500</v>
      </c>
      <c r="C15" s="29">
        <v>283</v>
      </c>
      <c r="D15" s="29"/>
      <c r="E15" s="29"/>
      <c r="F15" s="29"/>
      <c r="G15" s="29"/>
      <c r="H15" s="29"/>
      <c r="I15" s="29"/>
      <c r="J15" s="5">
        <f t="shared" si="0"/>
        <v>42640</v>
      </c>
      <c r="K15" s="5">
        <f>+'[1]AGENCE CARREF'!$Q15</f>
        <v>-58665</v>
      </c>
      <c r="L15" s="5">
        <v>0</v>
      </c>
      <c r="M15" s="5">
        <f t="shared" si="1"/>
        <v>-16025</v>
      </c>
      <c r="N15" s="29">
        <v>42675</v>
      </c>
      <c r="O15" s="5">
        <f>+'[1]AGENCE CARREF'!$N15</f>
        <v>21050</v>
      </c>
      <c r="P15" s="5"/>
      <c r="Q15" s="5">
        <f t="shared" si="2"/>
        <v>-58700</v>
      </c>
    </row>
    <row r="16" spans="1:17" ht="21" customHeight="1" x14ac:dyDescent="0.25">
      <c r="A16" s="38" t="s">
        <v>78</v>
      </c>
      <c r="B16" s="29"/>
      <c r="C16" s="29">
        <v>720</v>
      </c>
      <c r="D16" s="29">
        <v>20</v>
      </c>
      <c r="E16" s="29"/>
      <c r="F16" s="29"/>
      <c r="G16" s="29"/>
      <c r="H16" s="29"/>
      <c r="I16" s="29"/>
      <c r="J16" s="5">
        <f t="shared" si="0"/>
        <v>59600</v>
      </c>
      <c r="K16" s="5">
        <f>+'[1]AGENCE CARREF'!$Q16</f>
        <v>445000</v>
      </c>
      <c r="L16" s="5"/>
      <c r="M16" s="5"/>
      <c r="N16" s="29"/>
      <c r="O16" s="5">
        <f>+'[1]AGENCE CARREF'!$N16</f>
        <v>0</v>
      </c>
      <c r="P16" s="5"/>
      <c r="Q16" s="5">
        <f t="shared" si="2"/>
        <v>504600</v>
      </c>
    </row>
    <row r="17" spans="1:17" ht="21" customHeight="1" x14ac:dyDescent="0.25">
      <c r="A17" s="32" t="s">
        <v>79</v>
      </c>
      <c r="B17" s="29"/>
      <c r="C17" s="29">
        <v>120</v>
      </c>
      <c r="D17" s="29"/>
      <c r="E17" s="29">
        <v>50</v>
      </c>
      <c r="F17" s="29"/>
      <c r="G17" s="29"/>
      <c r="H17" s="29"/>
      <c r="I17" s="29"/>
      <c r="J17" s="5">
        <f>+B17*40+C17*80+D17*100+E17*160+F17*125+H17*80+I17*100</f>
        <v>17600</v>
      </c>
      <c r="K17" s="5">
        <f>+'[1]AGENCE CARREF'!$Q17</f>
        <v>-10400</v>
      </c>
      <c r="L17" s="5">
        <v>24000</v>
      </c>
      <c r="M17" s="5">
        <f>+J17+K17+L17</f>
        <v>31200</v>
      </c>
      <c r="N17" s="29"/>
      <c r="O17" s="5">
        <f>+'[1]AGENCE CARREF'!$N17</f>
        <v>18400</v>
      </c>
      <c r="P17" s="5"/>
      <c r="Q17" s="5">
        <f>+J17+K17-N17</f>
        <v>7200</v>
      </c>
    </row>
    <row r="18" spans="1:17" ht="21" customHeight="1" x14ac:dyDescent="0.25">
      <c r="A18" s="6" t="s">
        <v>47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10400</v>
      </c>
      <c r="M18" s="5">
        <f>+J18+K18+L18</f>
        <v>10400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48</v>
      </c>
      <c r="B19" s="29"/>
      <c r="C19" s="29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11200</v>
      </c>
      <c r="M19" s="5">
        <f>+J19+K19+L19</f>
        <v>11200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ht="21" customHeight="1" x14ac:dyDescent="0.25">
      <c r="A20" s="6" t="s">
        <v>50</v>
      </c>
      <c r="B20" s="29"/>
      <c r="C20" s="27"/>
      <c r="D20" s="29"/>
      <c r="E20" s="29"/>
      <c r="F20" s="29"/>
      <c r="G20" s="29"/>
      <c r="H20" s="29"/>
      <c r="I20" s="29"/>
      <c r="J20" s="5">
        <f>+B20*40+C20*80+D20*100+E20*160+F20*125+H20*80+I20*100</f>
        <v>0</v>
      </c>
      <c r="K20" s="5">
        <f>+'[1]AGENCE CARREF'!$Q20</f>
        <v>0</v>
      </c>
      <c r="L20" s="5">
        <v>42100</v>
      </c>
      <c r="M20" s="5">
        <f>+J20+K20+L20</f>
        <v>42100</v>
      </c>
      <c r="N20" s="29"/>
      <c r="O20" s="5">
        <f>+'[1]AGENCE CARREF'!$N20</f>
        <v>0</v>
      </c>
      <c r="P20" s="5"/>
      <c r="Q20" s="5">
        <f>+J20+K20-N20</f>
        <v>0</v>
      </c>
    </row>
    <row r="21" spans="1:17" s="10" customFormat="1" ht="21" customHeight="1" x14ac:dyDescent="0.25">
      <c r="A21" s="8" t="s">
        <v>58</v>
      </c>
      <c r="B21" s="9">
        <f>+SUM(B4:B20)</f>
        <v>500</v>
      </c>
      <c r="C21" s="22">
        <f t="shared" ref="C21:Q21" si="3">+SUM(C4:C20)</f>
        <v>1606</v>
      </c>
      <c r="D21" s="22">
        <f t="shared" si="3"/>
        <v>345</v>
      </c>
      <c r="E21" s="9">
        <f t="shared" si="3"/>
        <v>100</v>
      </c>
      <c r="F21" s="9">
        <f t="shared" si="3"/>
        <v>0</v>
      </c>
      <c r="G21" s="9">
        <f t="shared" si="3"/>
        <v>0</v>
      </c>
      <c r="H21" s="9">
        <f t="shared" si="3"/>
        <v>0</v>
      </c>
      <c r="I21" s="9">
        <f t="shared" si="3"/>
        <v>0</v>
      </c>
      <c r="J21" s="9">
        <f t="shared" si="3"/>
        <v>198980</v>
      </c>
      <c r="K21" s="9">
        <f t="shared" si="3"/>
        <v>-577950</v>
      </c>
      <c r="L21" s="9">
        <f t="shared" si="3"/>
        <v>89200</v>
      </c>
      <c r="M21" s="9">
        <f t="shared" si="3"/>
        <v>-794370</v>
      </c>
      <c r="N21" s="9">
        <f t="shared" si="3"/>
        <v>248675</v>
      </c>
      <c r="O21" s="9">
        <f t="shared" si="3"/>
        <v>230100</v>
      </c>
      <c r="P21" s="9"/>
      <c r="Q21" s="9">
        <f t="shared" si="3"/>
        <v>-627645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workbookViewId="0">
      <selection activeCell="K4" sqref="K4:K13"/>
    </sheetView>
  </sheetViews>
  <sheetFormatPr baseColWidth="10" defaultRowHeight="15" x14ac:dyDescent="0.25"/>
  <cols>
    <col min="1" max="1" width="17.85546875" customWidth="1"/>
    <col min="2" max="2" width="5.28515625" style="2" customWidth="1"/>
    <col min="3" max="4" width="7" style="2" customWidth="1"/>
    <col min="5" max="5" width="6.140625" style="2" customWidth="1"/>
    <col min="6" max="6" width="7" style="2" customWidth="1"/>
    <col min="7" max="7" width="5.5703125" style="2" customWidth="1"/>
    <col min="8" max="8" width="6" style="2" customWidth="1"/>
    <col min="9" max="9" width="6.42578125" style="2" bestFit="1" customWidth="1"/>
    <col min="10" max="10" width="8.7109375" style="2" customWidth="1"/>
    <col min="11" max="11" width="11" style="2" customWidth="1"/>
    <col min="12" max="12" width="9.7109375" style="20" customWidth="1"/>
    <col min="13" max="13" width="10.42578125" style="20" customWidth="1"/>
    <col min="14" max="14" width="9.5703125" style="24" bestFit="1" customWidth="1"/>
    <col min="15" max="15" width="7.2851562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45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4" t="s">
        <v>28</v>
      </c>
      <c r="N1" s="35">
        <f ca="1">+TODAY()</f>
        <v>46234</v>
      </c>
      <c r="O1" s="35"/>
      <c r="P1" s="15"/>
      <c r="Q1" s="4"/>
    </row>
    <row r="2" spans="1:17" s="1" customFormat="1" x14ac:dyDescent="0.25">
      <c r="A2" s="42" t="s">
        <v>0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4" t="s">
        <v>2</v>
      </c>
      <c r="Q2" s="42" t="s">
        <v>30</v>
      </c>
    </row>
    <row r="3" spans="1:17" s="1" customFormat="1" ht="45" x14ac:dyDescent="0.25">
      <c r="A3" s="42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4"/>
      <c r="Q3" s="42"/>
    </row>
    <row r="4" spans="1:17" ht="24.75" customHeight="1" x14ac:dyDescent="0.25">
      <c r="A4" s="38" t="s">
        <v>12</v>
      </c>
      <c r="B4" s="29"/>
      <c r="C4" s="29">
        <v>935</v>
      </c>
      <c r="D4" s="29">
        <v>915</v>
      </c>
      <c r="E4" s="29">
        <v>13</v>
      </c>
      <c r="F4" s="29"/>
      <c r="G4" s="29"/>
      <c r="H4" s="29"/>
      <c r="I4" s="29"/>
      <c r="J4" s="5">
        <f t="shared" ref="J4:J17" si="0">+B4*40+C4*75+D4*100+E4*160+F4*160+H4*80+I4*100</f>
        <v>163705</v>
      </c>
      <c r="K4" s="5">
        <f>+'[1]LIVREUR EXTERNE'!$Q4</f>
        <v>437880</v>
      </c>
      <c r="L4" s="17">
        <v>2003045</v>
      </c>
      <c r="M4" s="17">
        <f>+SUM(J4:L4)</f>
        <v>2604630</v>
      </c>
      <c r="N4" s="27">
        <v>163800</v>
      </c>
      <c r="O4" s="14">
        <f>+'[1]LIVREUR EXTERNE'!$O4</f>
        <v>21600</v>
      </c>
      <c r="P4" s="15"/>
      <c r="Q4" s="36">
        <f>+J4+K4-N4</f>
        <v>437785</v>
      </c>
    </row>
    <row r="5" spans="1:17" ht="24.75" customHeight="1" x14ac:dyDescent="0.25">
      <c r="A5" s="4" t="s">
        <v>19</v>
      </c>
      <c r="B5" s="29"/>
      <c r="C5" s="29">
        <v>300</v>
      </c>
      <c r="D5" s="29">
        <v>50</v>
      </c>
      <c r="E5" s="29"/>
      <c r="F5" s="29"/>
      <c r="G5" s="29"/>
      <c r="H5" s="29"/>
      <c r="I5" s="29"/>
      <c r="J5" s="5">
        <f t="shared" si="0"/>
        <v>27500</v>
      </c>
      <c r="K5" s="5">
        <f>+'[1]LIVREUR EXTERNE'!$Q5</f>
        <v>372590</v>
      </c>
      <c r="L5" s="17">
        <v>833780</v>
      </c>
      <c r="M5" s="17">
        <f t="shared" ref="M5:M17" si="1">+SUM(J5:L5)</f>
        <v>1233870</v>
      </c>
      <c r="N5" s="27"/>
      <c r="O5" s="14">
        <f>+'[1]LIVREUR EXTERNE'!$O5</f>
        <v>0</v>
      </c>
      <c r="P5" s="15"/>
      <c r="Q5" s="36">
        <f t="shared" ref="Q5:Q17" si="2">+J5+K5-N5</f>
        <v>400090</v>
      </c>
    </row>
    <row r="6" spans="1:17" ht="24.75" customHeight="1" x14ac:dyDescent="0.25">
      <c r="A6" s="38" t="s">
        <v>26</v>
      </c>
      <c r="B6" s="29"/>
      <c r="C6" s="29">
        <v>1215</v>
      </c>
      <c r="D6" s="29">
        <v>500</v>
      </c>
      <c r="E6" s="29">
        <v>5</v>
      </c>
      <c r="F6" s="29"/>
      <c r="G6" s="29"/>
      <c r="H6" s="29"/>
      <c r="I6" s="29"/>
      <c r="J6" s="5">
        <f t="shared" si="0"/>
        <v>141925</v>
      </c>
      <c r="K6" s="5">
        <f>+'[1]LIVREUR EXTERNE'!$Q6</f>
        <v>431280</v>
      </c>
      <c r="L6" s="17">
        <v>1466430</v>
      </c>
      <c r="M6" s="17">
        <f t="shared" si="1"/>
        <v>2039635</v>
      </c>
      <c r="N6" s="27">
        <v>150000</v>
      </c>
      <c r="O6" s="14">
        <f>+'[1]LIVREUR EXTERNE'!$O6</f>
        <v>0</v>
      </c>
      <c r="P6" s="15"/>
      <c r="Q6" s="36">
        <f t="shared" si="2"/>
        <v>423205</v>
      </c>
    </row>
    <row r="7" spans="1:17" ht="24.75" customHeight="1" x14ac:dyDescent="0.25">
      <c r="A7" s="4" t="s">
        <v>15</v>
      </c>
      <c r="B7" s="29"/>
      <c r="C7" s="29">
        <v>775</v>
      </c>
      <c r="D7" s="29">
        <v>535</v>
      </c>
      <c r="E7" s="29">
        <v>5</v>
      </c>
      <c r="F7" s="29"/>
      <c r="G7" s="29"/>
      <c r="H7" s="29"/>
      <c r="I7" s="29"/>
      <c r="J7" s="5">
        <f t="shared" si="0"/>
        <v>112425</v>
      </c>
      <c r="K7" s="5">
        <f>+'[1]LIVREUR EXTERNE'!$Q7</f>
        <v>507510</v>
      </c>
      <c r="L7" s="17">
        <v>1897085</v>
      </c>
      <c r="M7" s="17">
        <f t="shared" si="1"/>
        <v>2517020</v>
      </c>
      <c r="N7" s="27">
        <v>122425</v>
      </c>
      <c r="O7" s="14">
        <f>+'[1]LIVREUR EXTERNE'!$O7</f>
        <v>200750</v>
      </c>
      <c r="P7" s="15"/>
      <c r="Q7" s="36">
        <f t="shared" si="2"/>
        <v>497510</v>
      </c>
    </row>
    <row r="8" spans="1:17" ht="24.75" customHeight="1" x14ac:dyDescent="0.25">
      <c r="A8" s="4" t="s">
        <v>17</v>
      </c>
      <c r="B8" s="29"/>
      <c r="C8" s="29">
        <v>760</v>
      </c>
      <c r="D8" s="29">
        <v>810</v>
      </c>
      <c r="E8" s="29">
        <v>5</v>
      </c>
      <c r="F8" s="29"/>
      <c r="G8" s="29"/>
      <c r="H8" s="29"/>
      <c r="I8" s="29"/>
      <c r="J8" s="5">
        <f t="shared" si="0"/>
        <v>138800</v>
      </c>
      <c r="K8" s="5">
        <f>+'[1]LIVREUR EXTERNE'!$Q8</f>
        <v>549195</v>
      </c>
      <c r="L8" s="17">
        <v>1412040</v>
      </c>
      <c r="M8" s="17">
        <f t="shared" si="1"/>
        <v>2100035</v>
      </c>
      <c r="N8" s="27">
        <v>139600</v>
      </c>
      <c r="O8" s="14">
        <f>+'[1]LIVREUR EXTERNE'!$O8</f>
        <v>0</v>
      </c>
      <c r="P8" s="15"/>
      <c r="Q8" s="36">
        <f t="shared" si="2"/>
        <v>548395</v>
      </c>
    </row>
    <row r="9" spans="1:17" ht="24.75" customHeight="1" x14ac:dyDescent="0.25">
      <c r="A9" s="4" t="s">
        <v>29</v>
      </c>
      <c r="B9" s="29">
        <v>150</v>
      </c>
      <c r="C9" s="29">
        <v>1010</v>
      </c>
      <c r="D9" s="29">
        <v>700</v>
      </c>
      <c r="E9" s="29">
        <v>14</v>
      </c>
      <c r="F9" s="29"/>
      <c r="G9" s="29"/>
      <c r="H9" s="29"/>
      <c r="I9" s="29"/>
      <c r="J9" s="5">
        <f t="shared" si="0"/>
        <v>153990</v>
      </c>
      <c r="K9" s="5">
        <f>+'[1]LIVREUR EXTERNE'!$Q9</f>
        <v>675860</v>
      </c>
      <c r="L9" s="17">
        <v>2175630</v>
      </c>
      <c r="M9" s="17">
        <f t="shared" si="1"/>
        <v>3005480</v>
      </c>
      <c r="N9" s="27">
        <v>100364</v>
      </c>
      <c r="O9" s="14">
        <f>+'[1]LIVREUR EXTERNE'!$O9</f>
        <v>85000</v>
      </c>
      <c r="P9" s="15"/>
      <c r="Q9" s="36">
        <f t="shared" si="2"/>
        <v>729486</v>
      </c>
    </row>
    <row r="10" spans="1:17" ht="24.75" customHeight="1" x14ac:dyDescent="0.25">
      <c r="A10" s="4" t="s">
        <v>21</v>
      </c>
      <c r="B10" s="29"/>
      <c r="C10" s="29">
        <v>757</v>
      </c>
      <c r="D10" s="29">
        <v>747</v>
      </c>
      <c r="E10" s="29">
        <v>31</v>
      </c>
      <c r="F10" s="29"/>
      <c r="G10" s="29"/>
      <c r="H10" s="29"/>
      <c r="I10" s="29">
        <v>10</v>
      </c>
      <c r="J10" s="5">
        <f t="shared" si="0"/>
        <v>137435</v>
      </c>
      <c r="K10" s="5">
        <f>+'[1]LIVREUR EXTERNE'!$Q10</f>
        <v>222095</v>
      </c>
      <c r="L10" s="17">
        <v>1337940</v>
      </c>
      <c r="M10" s="17">
        <f t="shared" si="1"/>
        <v>1697470</v>
      </c>
      <c r="N10" s="27">
        <v>136500</v>
      </c>
      <c r="O10" s="14">
        <f>+'[1]LIVREUR EXTERNE'!$O10</f>
        <v>72825</v>
      </c>
      <c r="P10" s="15"/>
      <c r="Q10" s="36">
        <f t="shared" si="2"/>
        <v>223030</v>
      </c>
    </row>
    <row r="11" spans="1:17" ht="24.75" customHeight="1" x14ac:dyDescent="0.25">
      <c r="A11" s="38" t="s">
        <v>14</v>
      </c>
      <c r="B11" s="30"/>
      <c r="C11" s="30">
        <v>535</v>
      </c>
      <c r="D11" s="30">
        <v>600</v>
      </c>
      <c r="E11" s="30">
        <v>13</v>
      </c>
      <c r="F11" s="30"/>
      <c r="G11" s="30"/>
      <c r="H11" s="30"/>
      <c r="I11" s="30"/>
      <c r="J11" s="7">
        <f t="shared" si="0"/>
        <v>102205</v>
      </c>
      <c r="K11" s="5">
        <f>+'[1]LIVREUR EXTERNE'!$Q11</f>
        <v>242520</v>
      </c>
      <c r="L11" s="18">
        <v>582810</v>
      </c>
      <c r="M11" s="17">
        <f t="shared" si="1"/>
        <v>927535</v>
      </c>
      <c r="N11" s="31"/>
      <c r="O11" s="14">
        <f>+'[1]LIVREUR EXTERNE'!$O11</f>
        <v>0</v>
      </c>
      <c r="P11" s="21"/>
      <c r="Q11" s="36">
        <f t="shared" si="2"/>
        <v>344725</v>
      </c>
    </row>
    <row r="12" spans="1:17" ht="24.75" customHeight="1" x14ac:dyDescent="0.25">
      <c r="A12" s="4" t="s">
        <v>75</v>
      </c>
      <c r="B12" s="30"/>
      <c r="C12" s="30">
        <v>130</v>
      </c>
      <c r="D12" s="30">
        <v>315</v>
      </c>
      <c r="E12" s="30">
        <v>27</v>
      </c>
      <c r="F12" s="30"/>
      <c r="G12" s="30"/>
      <c r="H12" s="30"/>
      <c r="I12" s="30"/>
      <c r="J12" s="7">
        <f t="shared" si="0"/>
        <v>45570</v>
      </c>
      <c r="K12" s="5">
        <f>+'[1]LIVREUR EXTERNE'!$Q12</f>
        <v>-31860</v>
      </c>
      <c r="L12" s="18">
        <v>0</v>
      </c>
      <c r="M12" s="17">
        <f t="shared" si="1"/>
        <v>13710</v>
      </c>
      <c r="N12" s="31">
        <v>41000</v>
      </c>
      <c r="O12" s="14">
        <f>+'[1]LIVREUR EXTERNE'!$O12</f>
        <v>41000</v>
      </c>
      <c r="P12" s="21"/>
      <c r="Q12" s="36">
        <f t="shared" si="2"/>
        <v>-27290</v>
      </c>
    </row>
    <row r="13" spans="1:17" ht="24.75" customHeight="1" x14ac:dyDescent="0.25">
      <c r="A13" s="4" t="s">
        <v>76</v>
      </c>
      <c r="B13" s="30"/>
      <c r="C13" s="30">
        <v>920</v>
      </c>
      <c r="D13" s="30">
        <v>500</v>
      </c>
      <c r="E13" s="30"/>
      <c r="F13" s="30"/>
      <c r="G13" s="30"/>
      <c r="H13" s="30"/>
      <c r="I13" s="30"/>
      <c r="J13" s="7">
        <f t="shared" si="0"/>
        <v>119000</v>
      </c>
      <c r="K13" s="5">
        <f>+'[1]LIVREUR EXTERNE'!$Q13</f>
        <v>217880</v>
      </c>
      <c r="L13" s="18">
        <v>0</v>
      </c>
      <c r="M13" s="17">
        <f t="shared" si="1"/>
        <v>336880</v>
      </c>
      <c r="N13" s="31"/>
      <c r="O13" s="14">
        <f>+'[1]LIVREUR EXTERNE'!$O13</f>
        <v>0</v>
      </c>
      <c r="P13" s="21"/>
      <c r="Q13" s="36">
        <f>+J13+K13-N13</f>
        <v>336880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 t="shared" si="0"/>
        <v>0</v>
      </c>
      <c r="K14" s="5">
        <f>+'[1]LIVREUR EXTERNE'!$R14</f>
        <v>0</v>
      </c>
      <c r="L14" s="18">
        <v>467850</v>
      </c>
      <c r="M14" s="17">
        <f t="shared" si="1"/>
        <v>467850</v>
      </c>
      <c r="N14" s="31"/>
      <c r="O14" s="14">
        <f>+'[1]LIVREUR EXTERNE'!$O14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 t="shared" si="0"/>
        <v>0</v>
      </c>
      <c r="K15" s="5">
        <f>+'[1]LIVREUR EXTERNE'!$R15</f>
        <v>0</v>
      </c>
      <c r="L15" s="18">
        <v>249900</v>
      </c>
      <c r="M15" s="17">
        <f t="shared" si="1"/>
        <v>249900</v>
      </c>
      <c r="N15" s="31"/>
      <c r="O15" s="14">
        <f>+'[1]LIVREUR EXTERNE'!$O15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 t="shared" si="0"/>
        <v>0</v>
      </c>
      <c r="K16" s="5">
        <f>+'[1]LIVREUR EXTERNE'!$R16</f>
        <v>0</v>
      </c>
      <c r="L16" s="18">
        <v>541770</v>
      </c>
      <c r="M16" s="17">
        <f t="shared" si="1"/>
        <v>541770</v>
      </c>
      <c r="N16" s="31"/>
      <c r="O16" s="14">
        <f>+'[1]LIVREUR EXTERNE'!$O16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 t="shared" si="0"/>
        <v>0</v>
      </c>
      <c r="K17" s="5">
        <f>+'[1]LIVREUR EXTERNE'!$R17</f>
        <v>0</v>
      </c>
      <c r="L17" s="18">
        <v>499585</v>
      </c>
      <c r="M17" s="17">
        <f t="shared" si="1"/>
        <v>499585</v>
      </c>
      <c r="N17" s="31"/>
      <c r="O17" s="14">
        <f>+'[1]LIVREUR EXTERNE'!$O17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>+SUM(B4:B17)</f>
        <v>150</v>
      </c>
      <c r="C18" s="9">
        <f t="shared" ref="C18:N18" si="3">+SUM(C4:C17)</f>
        <v>7337</v>
      </c>
      <c r="D18" s="9">
        <f t="shared" si="3"/>
        <v>5672</v>
      </c>
      <c r="E18" s="9">
        <f>+SUM(E4:E17)</f>
        <v>113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10</v>
      </c>
      <c r="J18" s="22">
        <f t="shared" si="3"/>
        <v>1142555</v>
      </c>
      <c r="K18" s="9">
        <f>+SUM(K4:K17)</f>
        <v>3624950</v>
      </c>
      <c r="L18" s="22">
        <f>+SUM(L4:L17)</f>
        <v>13467865</v>
      </c>
      <c r="M18" s="19">
        <f t="shared" si="3"/>
        <v>18235370</v>
      </c>
      <c r="N18" s="22">
        <f t="shared" si="3"/>
        <v>853689</v>
      </c>
      <c r="O18" s="22"/>
      <c r="P18" s="23"/>
      <c r="Q18" s="37">
        <f>+SUM(Q4:Q17)</f>
        <v>3913816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workbookViewId="0">
      <selection activeCell="R10" sqref="R10"/>
    </sheetView>
  </sheetViews>
  <sheetFormatPr baseColWidth="10" defaultRowHeight="15" x14ac:dyDescent="0.25"/>
  <cols>
    <col min="1" max="1" width="18.140625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8554687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6" style="24" customWidth="1"/>
    <col min="14" max="14" width="8.140625" style="20" customWidth="1"/>
    <col min="15" max="15" width="10.42578125" style="20" customWidth="1"/>
    <col min="16" max="16" width="10.28515625" style="20" bestFit="1" customWidth="1"/>
    <col min="17" max="17" width="12" style="20" customWidth="1"/>
    <col min="18" max="18" width="9.140625" style="24" bestFit="1" customWidth="1"/>
    <col min="19" max="19" width="8.140625" style="24" customWidth="1"/>
    <col min="20" max="20" width="7.140625" style="24" customWidth="1"/>
    <col min="21" max="21" width="12.5703125" style="2" customWidth="1"/>
  </cols>
  <sheetData>
    <row r="1" spans="1:21" s="12" customFormat="1" ht="15" customHeight="1" x14ac:dyDescent="0.25">
      <c r="A1" s="42" t="s">
        <v>0</v>
      </c>
      <c r="B1" s="43" t="s">
        <v>33</v>
      </c>
      <c r="C1" s="43"/>
      <c r="D1" s="43"/>
      <c r="E1" s="43"/>
      <c r="F1" s="43" t="s">
        <v>32</v>
      </c>
      <c r="G1" s="43"/>
      <c r="H1" s="43"/>
      <c r="I1" s="43"/>
      <c r="J1" s="43"/>
      <c r="K1" s="13" t="s">
        <v>6</v>
      </c>
      <c r="L1" s="13" t="s">
        <v>31</v>
      </c>
      <c r="M1" s="13"/>
      <c r="N1" s="47" t="s">
        <v>8</v>
      </c>
      <c r="O1" s="47" t="s">
        <v>9</v>
      </c>
      <c r="P1" s="47" t="s">
        <v>10</v>
      </c>
      <c r="Q1" s="47" t="s">
        <v>11</v>
      </c>
      <c r="R1" s="43" t="s">
        <v>1</v>
      </c>
      <c r="S1" s="43" t="s">
        <v>46</v>
      </c>
      <c r="T1" s="43" t="s">
        <v>2</v>
      </c>
      <c r="U1" s="46" t="s">
        <v>30</v>
      </c>
    </row>
    <row r="2" spans="1:21" s="12" customFormat="1" x14ac:dyDescent="0.25">
      <c r="A2" s="42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13"/>
      <c r="N2" s="47"/>
      <c r="O2" s="47"/>
      <c r="P2" s="47"/>
      <c r="Q2" s="47"/>
      <c r="R2" s="43"/>
      <c r="S2" s="43"/>
      <c r="T2" s="43"/>
      <c r="U2" s="46"/>
    </row>
    <row r="3" spans="1:21" ht="22.5" customHeight="1" x14ac:dyDescent="0.25">
      <c r="A3" s="4" t="s">
        <v>34</v>
      </c>
      <c r="B3" s="27">
        <v>100</v>
      </c>
      <c r="C3" s="27">
        <v>1237</v>
      </c>
      <c r="D3" s="27"/>
      <c r="E3" s="27"/>
      <c r="F3" s="27">
        <v>250</v>
      </c>
      <c r="G3" s="27">
        <v>840</v>
      </c>
      <c r="H3" s="27"/>
      <c r="I3" s="27"/>
      <c r="J3" s="27"/>
      <c r="K3" s="27"/>
      <c r="L3" s="27"/>
      <c r="M3" s="27"/>
      <c r="N3" s="17">
        <f t="shared" ref="N3:N8" si="0">+B3*40+C3*80+D3*100+E3*160+F3*40+G3*80+H3*125+I3*160+K3*80+L3*100</f>
        <v>180160</v>
      </c>
      <c r="O3" s="17">
        <f>+'[1]LIVREUR INTERNE ETC'!$U3</f>
        <v>3220530</v>
      </c>
      <c r="P3" s="17">
        <v>295950</v>
      </c>
      <c r="Q3" s="17">
        <f t="shared" ref="Q3:Q13" si="1">+N3+O3+P3</f>
        <v>3696640</v>
      </c>
      <c r="R3" s="27"/>
      <c r="S3" s="14">
        <f>+'[1]LIVREUR INTERNE ETC'!$R3</f>
        <v>184200</v>
      </c>
      <c r="T3" s="14"/>
      <c r="U3" s="5">
        <f t="shared" ref="U3:U13" si="2">+N3+O3-R3</f>
        <v>3400690</v>
      </c>
    </row>
    <row r="4" spans="1:21" ht="22.5" customHeight="1" x14ac:dyDescent="0.25">
      <c r="A4" s="4" t="s">
        <v>40</v>
      </c>
      <c r="B4" s="27"/>
      <c r="C4" s="27">
        <v>40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17">
        <f t="shared" si="0"/>
        <v>3200</v>
      </c>
      <c r="O4" s="17">
        <f>+'[1]LIVREUR INTERNE ETC'!$U4</f>
        <v>263435</v>
      </c>
      <c r="P4" s="17">
        <v>476485</v>
      </c>
      <c r="Q4" s="17">
        <f t="shared" si="1"/>
        <v>743120</v>
      </c>
      <c r="R4" s="27">
        <v>20000</v>
      </c>
      <c r="S4" s="14">
        <f>+'[1]LIVREUR INTERNE ETC'!$R4</f>
        <v>0</v>
      </c>
      <c r="T4" s="14"/>
      <c r="U4" s="5">
        <f t="shared" si="2"/>
        <v>246635</v>
      </c>
    </row>
    <row r="5" spans="1:21" ht="22.5" customHeight="1" x14ac:dyDescent="0.25">
      <c r="A5" s="4" t="s">
        <v>37</v>
      </c>
      <c r="B5" s="27"/>
      <c r="C5" s="27">
        <v>400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17">
        <f t="shared" si="0"/>
        <v>32000</v>
      </c>
      <c r="O5" s="17">
        <f>+'[1]LIVREUR INTERNE ETC'!$U5</f>
        <v>1510460</v>
      </c>
      <c r="P5" s="17">
        <v>91600</v>
      </c>
      <c r="Q5" s="17">
        <f t="shared" si="1"/>
        <v>1634060</v>
      </c>
      <c r="R5" s="27">
        <v>35000</v>
      </c>
      <c r="S5" s="14">
        <f>+'[1]LIVREUR INTERNE ETC'!$R5</f>
        <v>31500</v>
      </c>
      <c r="T5" s="14"/>
      <c r="U5" s="5">
        <f t="shared" si="2"/>
        <v>1507460</v>
      </c>
    </row>
    <row r="6" spans="1:21" ht="22.5" customHeight="1" x14ac:dyDescent="0.25">
      <c r="A6" s="4" t="s">
        <v>39</v>
      </c>
      <c r="B6" s="27">
        <v>450</v>
      </c>
      <c r="C6" s="27">
        <v>1875</v>
      </c>
      <c r="D6" s="27">
        <v>10</v>
      </c>
      <c r="E6" s="27">
        <v>70</v>
      </c>
      <c r="F6" s="27"/>
      <c r="G6" s="27">
        <v>425</v>
      </c>
      <c r="H6" s="27"/>
      <c r="I6" s="27">
        <v>25</v>
      </c>
      <c r="J6" s="27"/>
      <c r="K6" s="27"/>
      <c r="L6" s="27"/>
      <c r="M6" s="27"/>
      <c r="N6" s="17">
        <f t="shared" si="0"/>
        <v>218200</v>
      </c>
      <c r="O6" s="17">
        <f>+'[1]LIVREUR INTERNE ETC'!$U6</f>
        <v>760165</v>
      </c>
      <c r="P6" s="17">
        <v>785440</v>
      </c>
      <c r="Q6" s="17">
        <f t="shared" si="1"/>
        <v>1763805</v>
      </c>
      <c r="R6" s="27">
        <v>340000</v>
      </c>
      <c r="S6" s="14">
        <f>+'[1]LIVREUR INTERNE ETC'!$R6</f>
        <v>0</v>
      </c>
      <c r="T6" s="14"/>
      <c r="U6" s="5">
        <f t="shared" si="2"/>
        <v>638365</v>
      </c>
    </row>
    <row r="7" spans="1:21" ht="22.5" customHeight="1" x14ac:dyDescent="0.25">
      <c r="A7" s="4" t="s">
        <v>35</v>
      </c>
      <c r="B7" s="27"/>
      <c r="C7" s="27">
        <v>1625</v>
      </c>
      <c r="D7" s="27"/>
      <c r="E7" s="27">
        <v>165</v>
      </c>
      <c r="F7" s="27"/>
      <c r="G7" s="27">
        <v>550</v>
      </c>
      <c r="H7" s="27"/>
      <c r="I7" s="27"/>
      <c r="J7" s="27"/>
      <c r="K7" s="27"/>
      <c r="L7" s="27"/>
      <c r="M7" s="27"/>
      <c r="N7" s="17">
        <f t="shared" si="0"/>
        <v>200400</v>
      </c>
      <c r="O7" s="17">
        <f>+'[1]LIVREUR INTERNE ETC'!$U7</f>
        <v>206760</v>
      </c>
      <c r="P7" s="17">
        <v>20920</v>
      </c>
      <c r="Q7" s="17">
        <f t="shared" si="1"/>
        <v>428080</v>
      </c>
      <c r="R7" s="27"/>
      <c r="S7" s="14">
        <f>+'[1]LIVREUR INTERNE ETC'!$R7</f>
        <v>153500</v>
      </c>
      <c r="T7" s="14"/>
      <c r="U7" s="5">
        <f t="shared" si="2"/>
        <v>407160</v>
      </c>
    </row>
    <row r="8" spans="1:21" ht="22.5" customHeight="1" x14ac:dyDescent="0.25">
      <c r="A8" s="38" t="s">
        <v>45</v>
      </c>
      <c r="B8" s="27"/>
      <c r="C8" s="27">
        <v>360</v>
      </c>
      <c r="D8" s="28"/>
      <c r="E8" s="27"/>
      <c r="F8" s="27"/>
      <c r="G8" s="27">
        <v>560</v>
      </c>
      <c r="H8" s="27"/>
      <c r="I8" s="27"/>
      <c r="J8" s="27"/>
      <c r="K8" s="27"/>
      <c r="L8" s="27"/>
      <c r="M8" s="27"/>
      <c r="N8" s="17">
        <f t="shared" si="0"/>
        <v>73600</v>
      </c>
      <c r="O8" s="17">
        <f>+'[1]LIVREUR INTERNE ETC'!$U8</f>
        <v>38635</v>
      </c>
      <c r="P8" s="17">
        <v>0</v>
      </c>
      <c r="Q8" s="17">
        <f t="shared" si="1"/>
        <v>112235</v>
      </c>
      <c r="R8" s="27">
        <v>69000</v>
      </c>
      <c r="S8" s="14">
        <f>+'[1]LIVREUR INTERNE ETC'!$R8</f>
        <v>68000</v>
      </c>
      <c r="T8" s="14"/>
      <c r="U8" s="5">
        <f t="shared" si="2"/>
        <v>43235</v>
      </c>
    </row>
    <row r="9" spans="1:21" ht="22.5" customHeight="1" x14ac:dyDescent="0.25">
      <c r="A9" s="4" t="s">
        <v>41</v>
      </c>
      <c r="B9" s="27"/>
      <c r="C9" s="27">
        <v>302</v>
      </c>
      <c r="D9" s="27">
        <v>20</v>
      </c>
      <c r="E9" s="27"/>
      <c r="F9" s="27"/>
      <c r="G9" s="27">
        <v>330</v>
      </c>
      <c r="H9" s="27"/>
      <c r="I9" s="27"/>
      <c r="J9" s="27"/>
      <c r="K9" s="27"/>
      <c r="L9" s="27"/>
      <c r="M9" s="27"/>
      <c r="N9" s="17">
        <f>+B9*40+C9*80+D9*100+E9*160+F9*40+G9*80+H9*125+I9*160+K9*80+L9*100</f>
        <v>52560</v>
      </c>
      <c r="O9" s="17">
        <f>+'[1]LIVREUR INTERNE ETC'!$U9</f>
        <v>162360</v>
      </c>
      <c r="P9" s="17">
        <v>0</v>
      </c>
      <c r="Q9" s="17">
        <f t="shared" si="1"/>
        <v>214920</v>
      </c>
      <c r="R9" s="27">
        <v>50500</v>
      </c>
      <c r="S9" s="14">
        <f>+'[1]LIVREUR INTERNE ETC'!$R9</f>
        <v>36000</v>
      </c>
      <c r="T9" s="14"/>
      <c r="U9" s="5">
        <f t="shared" si="2"/>
        <v>164420</v>
      </c>
    </row>
    <row r="10" spans="1:21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7">
        <f>+B10*40+C10*80+D10*100+E10*160+F10*40+G10*80+H10*125+I10*160+K10*80+L10*100</f>
        <v>0</v>
      </c>
      <c r="O10" s="17">
        <f>+'[1]LIVREUR INTERNE ETC'!$U10</f>
        <v>0</v>
      </c>
      <c r="P10" s="17">
        <v>1785760</v>
      </c>
      <c r="Q10" s="17">
        <f t="shared" si="1"/>
        <v>1785760</v>
      </c>
      <c r="R10" s="27"/>
      <c r="S10" s="14">
        <f>+'[1]LIVREUR INTERNE ETC'!$R10</f>
        <v>0</v>
      </c>
      <c r="T10" s="14"/>
      <c r="U10" s="5">
        <f t="shared" si="2"/>
        <v>0</v>
      </c>
    </row>
    <row r="11" spans="1:21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17">
        <f>+B11*40+C11*80+D11*100+E11*160+F11*40+G11*80+H11*125+I11*160+K11*80+L11*100</f>
        <v>0</v>
      </c>
      <c r="O11" s="17">
        <f>+'[1]LIVREUR INTERNE ETC'!$U11</f>
        <v>0</v>
      </c>
      <c r="P11" s="17">
        <v>1912780</v>
      </c>
      <c r="Q11" s="17">
        <f t="shared" si="1"/>
        <v>1912780</v>
      </c>
      <c r="R11" s="27"/>
      <c r="S11" s="14">
        <f>+'[1]LIVREUR INTERNE ETC'!$R11</f>
        <v>0</v>
      </c>
      <c r="T11" s="14"/>
      <c r="U11" s="5">
        <f t="shared" si="2"/>
        <v>0</v>
      </c>
    </row>
    <row r="12" spans="1:21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17">
        <f>+B12*40+C12*80+D12*100+E12*160+F12*40+G12*80+H12*125+I12*160+K12*80+L12*100</f>
        <v>0</v>
      </c>
      <c r="O12" s="17">
        <f>+'[1]LIVREUR INTERNE ETC'!$U12</f>
        <v>0</v>
      </c>
      <c r="P12" s="17">
        <v>539260</v>
      </c>
      <c r="Q12" s="17">
        <f t="shared" si="1"/>
        <v>539260</v>
      </c>
      <c r="R12" s="27"/>
      <c r="S12" s="14">
        <f>+'[1]LIVREUR INTERNE ETC'!$R12</f>
        <v>0</v>
      </c>
      <c r="T12" s="14"/>
      <c r="U12" s="5">
        <f t="shared" si="2"/>
        <v>0</v>
      </c>
    </row>
    <row r="13" spans="1:21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17">
        <f>+B13*40+C13*80+D13*100+E13*160+F13*40+G13*80+H13*125+I13*160+K13*80+L13*100</f>
        <v>0</v>
      </c>
      <c r="O13" s="17">
        <f>+'[1]LIVREUR INTERNE ETC'!$U13</f>
        <v>0</v>
      </c>
      <c r="P13" s="17">
        <v>811420</v>
      </c>
      <c r="Q13" s="17">
        <f t="shared" si="1"/>
        <v>811420</v>
      </c>
      <c r="R13" s="27"/>
      <c r="S13" s="14">
        <f>+'[1]LIVREUR INTERNE ETC'!$R13</f>
        <v>0</v>
      </c>
      <c r="T13" s="14"/>
      <c r="U13" s="5">
        <f t="shared" si="2"/>
        <v>0</v>
      </c>
    </row>
    <row r="14" spans="1:21" s="10" customFormat="1" ht="22.5" customHeight="1" x14ac:dyDescent="0.25">
      <c r="A14" s="8" t="s">
        <v>42</v>
      </c>
      <c r="B14" s="22">
        <f t="shared" ref="B14:R14" si="3">+SUM(B3:B13)</f>
        <v>550</v>
      </c>
      <c r="C14" s="22">
        <f t="shared" si="3"/>
        <v>5839</v>
      </c>
      <c r="D14" s="22">
        <f t="shared" si="3"/>
        <v>30</v>
      </c>
      <c r="E14" s="22">
        <f t="shared" si="3"/>
        <v>235</v>
      </c>
      <c r="F14" s="22">
        <f t="shared" si="3"/>
        <v>250</v>
      </c>
      <c r="G14" s="33">
        <f t="shared" si="3"/>
        <v>2705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22"/>
      <c r="N14" s="19">
        <f t="shared" si="3"/>
        <v>760120</v>
      </c>
      <c r="O14" s="19">
        <f t="shared" si="3"/>
        <v>6162345</v>
      </c>
      <c r="P14" s="19">
        <f t="shared" si="3"/>
        <v>6719615</v>
      </c>
      <c r="Q14" s="19">
        <f t="shared" si="3"/>
        <v>13642080</v>
      </c>
      <c r="R14" s="22">
        <f t="shared" si="3"/>
        <v>514500</v>
      </c>
      <c r="S14" s="22"/>
      <c r="T14" s="22"/>
      <c r="U14" s="9">
        <f>+SUM(U3:U13)</f>
        <v>6407965</v>
      </c>
    </row>
    <row r="17" spans="1:21" ht="15" customHeight="1" x14ac:dyDescent="0.25">
      <c r="A17" s="48" t="s">
        <v>59</v>
      </c>
      <c r="B17" s="43" t="s">
        <v>33</v>
      </c>
      <c r="C17" s="43"/>
      <c r="D17" s="43"/>
      <c r="E17" s="43"/>
      <c r="F17" s="43" t="s">
        <v>32</v>
      </c>
      <c r="G17" s="43"/>
      <c r="H17" s="43"/>
      <c r="I17" s="43"/>
      <c r="J17" s="43"/>
      <c r="K17" s="43" t="s">
        <v>6</v>
      </c>
      <c r="L17" s="43" t="s">
        <v>64</v>
      </c>
      <c r="M17" s="52" t="s">
        <v>80</v>
      </c>
      <c r="N17" s="49" t="s">
        <v>8</v>
      </c>
      <c r="O17" s="49" t="s">
        <v>9</v>
      </c>
      <c r="P17" s="49" t="s">
        <v>10</v>
      </c>
      <c r="Q17" s="49" t="s">
        <v>11</v>
      </c>
      <c r="R17" s="52" t="s">
        <v>1</v>
      </c>
      <c r="S17" s="52" t="s">
        <v>46</v>
      </c>
      <c r="T17" s="52" t="s">
        <v>2</v>
      </c>
      <c r="U17" s="58" t="s">
        <v>30</v>
      </c>
    </row>
    <row r="18" spans="1:21" x14ac:dyDescent="0.25">
      <c r="A18" s="48"/>
      <c r="B18" s="43" t="s">
        <v>60</v>
      </c>
      <c r="C18" s="43"/>
      <c r="D18" s="25" t="s">
        <v>62</v>
      </c>
      <c r="E18" s="26" t="s">
        <v>61</v>
      </c>
      <c r="F18" s="43" t="s">
        <v>60</v>
      </c>
      <c r="G18" s="43"/>
      <c r="H18" s="13" t="s">
        <v>62</v>
      </c>
      <c r="I18" s="13" t="s">
        <v>63</v>
      </c>
      <c r="J18" s="13" t="s">
        <v>5</v>
      </c>
      <c r="K18" s="43"/>
      <c r="L18" s="43"/>
      <c r="M18" s="53"/>
      <c r="N18" s="50"/>
      <c r="O18" s="50"/>
      <c r="P18" s="50"/>
      <c r="Q18" s="50"/>
      <c r="R18" s="57"/>
      <c r="S18" s="57"/>
      <c r="T18" s="57"/>
      <c r="U18" s="59"/>
    </row>
    <row r="19" spans="1:21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26">
        <v>1500</v>
      </c>
      <c r="N19" s="51"/>
      <c r="O19" s="51"/>
      <c r="P19" s="51"/>
      <c r="Q19" s="51"/>
      <c r="R19" s="53"/>
      <c r="S19" s="53"/>
      <c r="T19" s="53"/>
      <c r="U19" s="60"/>
    </row>
    <row r="20" spans="1:21" ht="19.5" customHeight="1" x14ac:dyDescent="0.25">
      <c r="A20" s="48"/>
      <c r="B20" s="27">
        <v>60</v>
      </c>
      <c r="C20" s="27"/>
      <c r="D20" s="27"/>
      <c r="E20" s="27">
        <v>150</v>
      </c>
      <c r="F20" s="27"/>
      <c r="G20" s="27"/>
      <c r="H20" s="27"/>
      <c r="I20" s="27"/>
      <c r="J20" s="27"/>
      <c r="K20" s="27"/>
      <c r="L20" s="27"/>
      <c r="M20" s="27"/>
      <c r="N20" s="17">
        <f>+B20*80+C20*115+D20*40+E20*40+F20*80+G20*115+H20*40+I20*40+K20*80+L20*500+M20*1500</f>
        <v>10800</v>
      </c>
      <c r="O20" s="17">
        <f>+'[1]LIVREUR INTERNE ETC'!$U20</f>
        <v>171405</v>
      </c>
      <c r="P20" s="17">
        <v>10400</v>
      </c>
      <c r="Q20" s="17">
        <f>+SUM(N20:P20)</f>
        <v>192605</v>
      </c>
      <c r="R20" s="27"/>
      <c r="S20" s="14">
        <f>+'[1]LIVREUR INTERNE ETC'!$R20</f>
        <v>51300</v>
      </c>
      <c r="T20" s="14"/>
      <c r="U20" s="5">
        <f>+N20+O20-R20</f>
        <v>182205</v>
      </c>
    </row>
    <row r="23" spans="1:21" ht="15" customHeight="1" x14ac:dyDescent="0.25">
      <c r="A23" s="48" t="s">
        <v>65</v>
      </c>
      <c r="B23" s="54" t="s">
        <v>66</v>
      </c>
      <c r="C23" s="55"/>
      <c r="D23" s="55"/>
      <c r="E23" s="55"/>
      <c r="F23" s="55"/>
      <c r="G23" s="55"/>
      <c r="H23" s="55"/>
      <c r="I23" s="55"/>
      <c r="J23" s="56"/>
      <c r="K23" s="43" t="s">
        <v>62</v>
      </c>
      <c r="L23" s="43" t="s">
        <v>74</v>
      </c>
      <c r="M23" s="39"/>
      <c r="N23" s="49" t="s">
        <v>8</v>
      </c>
      <c r="O23" s="49" t="s">
        <v>9</v>
      </c>
      <c r="P23" s="49" t="s">
        <v>10</v>
      </c>
      <c r="Q23" s="49" t="s">
        <v>11</v>
      </c>
      <c r="R23" s="52" t="s">
        <v>1</v>
      </c>
      <c r="S23" s="52" t="s">
        <v>46</v>
      </c>
      <c r="T23" s="52" t="s">
        <v>2</v>
      </c>
      <c r="U23" s="58" t="s">
        <v>30</v>
      </c>
    </row>
    <row r="24" spans="1:21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3"/>
      <c r="L24" s="43"/>
      <c r="M24" s="40"/>
      <c r="N24" s="50"/>
      <c r="O24" s="50"/>
      <c r="P24" s="50"/>
      <c r="Q24" s="50"/>
      <c r="R24" s="57"/>
      <c r="S24" s="57"/>
      <c r="T24" s="57"/>
      <c r="U24" s="59"/>
    </row>
    <row r="25" spans="1:21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51"/>
      <c r="O25" s="51"/>
      <c r="P25" s="51"/>
      <c r="Q25" s="51"/>
      <c r="R25" s="53"/>
      <c r="S25" s="53"/>
      <c r="T25" s="53"/>
      <c r="U25" s="60"/>
    </row>
    <row r="26" spans="1:21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7">
        <f>+B26*80+C26*160+D26*350+E26*80+F26*80+G26*40+H26*40+I26*40+K26*40+L26*80</f>
        <v>0</v>
      </c>
      <c r="O26" s="17">
        <f>+'[1]LIVREUR INTERNE ETC'!$U26</f>
        <v>42000</v>
      </c>
      <c r="P26" s="17">
        <v>6000</v>
      </c>
      <c r="Q26" s="17">
        <f>+SUM(N26:P26)</f>
        <v>48000</v>
      </c>
      <c r="R26" s="27"/>
      <c r="S26" s="14">
        <f>+'[1]LIVREUR INTERNE ETC'!$R26</f>
        <v>0</v>
      </c>
      <c r="T26" s="14"/>
      <c r="U26" s="5">
        <f>+N26+O26-R26</f>
        <v>42000</v>
      </c>
    </row>
  </sheetData>
  <mergeCells count="39"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  <mergeCell ref="A23:A26"/>
    <mergeCell ref="K23:K24"/>
    <mergeCell ref="L23:L24"/>
    <mergeCell ref="N23:N25"/>
    <mergeCell ref="B23:J23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2026-07-31T13:56:38Z</cp:lastPrinted>
  <dcterms:created xsi:type="dcterms:W3CDTF">2026-07-15T15:57:08Z</dcterms:created>
  <dcterms:modified xsi:type="dcterms:W3CDTF">2026-07-31T15:24:16Z</dcterms:modified>
</cp:coreProperties>
</file>