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99F3340B-0424-4CF3-A42D-7F490CFC3E3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  <externalReference r:id="rId6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7" i="4" l="1"/>
  <c r="O21" i="4"/>
  <c r="S21" i="4"/>
  <c r="O4" i="4"/>
  <c r="O5" i="4"/>
  <c r="O6" i="4"/>
  <c r="O7" i="4"/>
  <c r="O8" i="4"/>
  <c r="O9" i="4"/>
  <c r="O10" i="4"/>
  <c r="O3" i="4"/>
  <c r="S4" i="4"/>
  <c r="S5" i="4"/>
  <c r="S6" i="4"/>
  <c r="S7" i="4"/>
  <c r="S8" i="4"/>
  <c r="S9" i="4"/>
  <c r="S10" i="4"/>
  <c r="S3" i="4"/>
  <c r="K4" i="2"/>
  <c r="O5" i="2"/>
  <c r="O6" i="2"/>
  <c r="O7" i="2"/>
  <c r="O8" i="2"/>
  <c r="O9" i="2"/>
  <c r="O10" i="2"/>
  <c r="O11" i="2"/>
  <c r="O12" i="2"/>
  <c r="O4" i="2"/>
  <c r="K11" i="1"/>
  <c r="K12" i="1"/>
  <c r="K13" i="1"/>
  <c r="K14" i="1"/>
  <c r="K15" i="1"/>
  <c r="K16" i="1"/>
  <c r="K17" i="1"/>
  <c r="K10" i="1"/>
  <c r="O11" i="1"/>
  <c r="O12" i="1"/>
  <c r="O13" i="1"/>
  <c r="O14" i="1"/>
  <c r="O15" i="1"/>
  <c r="O16" i="1"/>
  <c r="O17" i="1"/>
  <c r="O10" i="1"/>
  <c r="S27" i="4" l="1"/>
  <c r="K5" i="2"/>
  <c r="K6" i="2"/>
  <c r="K7" i="2"/>
  <c r="K8" i="2"/>
  <c r="K9" i="2"/>
  <c r="K10" i="2"/>
  <c r="K11" i="2"/>
  <c r="K12" i="2"/>
  <c r="K13" i="2"/>
  <c r="O13" i="2"/>
  <c r="K18" i="1" l="1"/>
  <c r="K19" i="1"/>
  <c r="K20" i="1"/>
  <c r="O18" i="1"/>
  <c r="O19" i="1"/>
  <c r="O20" i="1"/>
  <c r="K14" i="2"/>
  <c r="K15" i="2"/>
  <c r="K16" i="2"/>
  <c r="K17" i="2"/>
  <c r="O14" i="2"/>
  <c r="O15" i="2"/>
  <c r="O16" i="2"/>
  <c r="O17" i="2"/>
  <c r="O11" i="4"/>
  <c r="O12" i="4"/>
  <c r="O13" i="4"/>
  <c r="O14" i="4"/>
  <c r="S11" i="4"/>
  <c r="S12" i="4"/>
  <c r="S13" i="4"/>
  <c r="S14" i="4"/>
  <c r="N1" i="2" l="1"/>
  <c r="D21" i="1" l="1"/>
  <c r="C15" i="4"/>
  <c r="N10" i="4" l="1"/>
  <c r="N9" i="4"/>
  <c r="U10" i="4" l="1"/>
  <c r="Q10" i="4"/>
  <c r="N21" i="4" l="1"/>
  <c r="J16" i="1" l="1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D31" i="2" l="1"/>
  <c r="B31" i="2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M15" i="1" l="1"/>
  <c r="Q15" i="1"/>
  <c r="M18" i="2"/>
  <c r="Q14" i="1"/>
  <c r="M14" i="1"/>
  <c r="Q18" i="2"/>
  <c r="Q15" i="4"/>
  <c r="U15" i="4"/>
  <c r="K21" i="1"/>
  <c r="Q10" i="1"/>
  <c r="M10" i="1"/>
  <c r="Q21" i="1" l="1"/>
  <c r="M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<sst xmlns="http://schemas.openxmlformats.org/spreadsheetml/2006/main" count="132" uniqueCount="83">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</sst>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4" fontId="4" fillId="0" borderId="0" xfId="1" applyNumberFormat="1" applyFont="1"/>
    <xf numFmtId="164" fontId="3" fillId="0" borderId="0" xfId="1" applyNumberFormat="1" applyFont="1"/>
    <xf numFmtId="164" fontId="5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/>
    <xf numFmtId="0" fontId="7" fillId="0" borderId="1" xfId="0" applyFont="1" applyBorder="1"/>
    <xf numFmtId="164" fontId="7" fillId="0" borderId="1" xfId="1" applyNumberFormat="1" applyFont="1" applyBorder="1" applyProtection="1">
      <protection locked="0"/>
    </xf>
    <xf numFmtId="164" fontId="7" fillId="0" borderId="1" xfId="1" applyNumberFormat="1" applyFont="1" applyBorder="1"/>
    <xf numFmtId="164" fontId="7" fillId="0" borderId="1" xfId="0" applyNumberFormat="1" applyFont="1" applyBorder="1"/>
    <xf numFmtId="164" fontId="7" fillId="3" borderId="1" xfId="1" applyNumberFormat="1" applyFont="1" applyFill="1" applyBorder="1" applyProtection="1">
      <protection locked="0"/>
    </xf>
    <xf numFmtId="164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164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4" fontId="7" fillId="0" borderId="0" xfId="1" applyNumberFormat="1" applyFont="1"/>
    <xf numFmtId="164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4" fontId="5" fillId="0" borderId="1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4" fontId="5" fillId="0" borderId="1" xfId="1" applyNumberFormat="1" applyFont="1" applyBorder="1" applyAlignment="1">
      <alignment horizont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6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108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5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0</v>
          </cell>
          <cell r="Q10">
            <v>60500</v>
          </cell>
        </row>
        <row r="11">
          <cell r="N11">
            <v>0</v>
          </cell>
          <cell r="Q11">
            <v>294640</v>
          </cell>
        </row>
        <row r="12">
          <cell r="N12">
            <v>15600</v>
          </cell>
          <cell r="Q12">
            <v>9370</v>
          </cell>
        </row>
        <row r="13">
          <cell r="N13">
            <v>77000</v>
          </cell>
          <cell r="Q13">
            <v>-28860</v>
          </cell>
        </row>
        <row r="14">
          <cell r="N14">
            <v>70500</v>
          </cell>
          <cell r="Q14">
            <v>-2803265</v>
          </cell>
        </row>
        <row r="15">
          <cell r="N15"/>
          <cell r="Q15">
            <v>-425970</v>
          </cell>
        </row>
        <row r="16">
          <cell r="N16"/>
          <cell r="Q16">
            <v>565560</v>
          </cell>
        </row>
        <row r="17">
          <cell r="N17">
            <v>18000</v>
          </cell>
          <cell r="Q17">
            <v>-10000</v>
          </cell>
        </row>
      </sheetData>
      <sheetData sheetId="1">
        <row r="4">
          <cell r="N4"/>
          <cell r="Q4">
            <v>548280</v>
          </cell>
        </row>
        <row r="5">
          <cell r="N5">
            <v>65000</v>
          </cell>
        </row>
        <row r="6">
          <cell r="N6">
            <v>0</v>
          </cell>
        </row>
        <row r="7">
          <cell r="N7">
            <v>175000</v>
          </cell>
        </row>
        <row r="8">
          <cell r="N8">
            <v>110000</v>
          </cell>
        </row>
        <row r="9">
          <cell r="N9">
            <v>77000</v>
          </cell>
        </row>
        <row r="10">
          <cell r="N10">
            <v>116875</v>
          </cell>
        </row>
        <row r="11">
          <cell r="N11">
            <v>0</v>
          </cell>
        </row>
        <row r="12">
          <cell r="N12">
            <v>41300</v>
          </cell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284435</v>
          </cell>
        </row>
        <row r="5">
          <cell r="R5"/>
          <cell r="U5">
            <v>1672700</v>
          </cell>
        </row>
        <row r="6">
          <cell r="R6"/>
          <cell r="U6">
            <v>1091425</v>
          </cell>
        </row>
        <row r="7">
          <cell r="R7">
            <v>90000</v>
          </cell>
          <cell r="U7">
            <v>-80390</v>
          </cell>
        </row>
        <row r="8">
          <cell r="R8">
            <v>0</v>
          </cell>
          <cell r="U8">
            <v>-48065</v>
          </cell>
        </row>
        <row r="9">
          <cell r="R9">
            <v>49000</v>
          </cell>
          <cell r="U9">
            <v>317320</v>
          </cell>
        </row>
        <row r="10">
          <cell r="R10">
            <v>181000</v>
          </cell>
          <cell r="U10">
            <v>283500</v>
          </cell>
        </row>
        <row r="21">
          <cell r="R21">
            <v>0</v>
          </cell>
          <cell r="U21">
            <v>195065</v>
          </cell>
        </row>
        <row r="27">
          <cell r="U27">
            <v>30000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  <cell r="Q18">
            <v>0</v>
          </cell>
        </row>
        <row r="19">
          <cell r="N19"/>
          <cell r="Q19">
            <v>0</v>
          </cell>
        </row>
        <row r="20">
          <cell r="N20"/>
          <cell r="Q20">
            <v>0</v>
          </cell>
        </row>
      </sheetData>
      <sheetData sheetId="1"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  <row r="14">
          <cell r="R14"/>
          <cell r="U1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5">
          <cell r="Q5">
            <v>411840</v>
          </cell>
        </row>
        <row r="6">
          <cell r="Q6">
            <v>685105</v>
          </cell>
        </row>
        <row r="7">
          <cell r="Q7">
            <v>608010</v>
          </cell>
        </row>
        <row r="8">
          <cell r="Q8">
            <v>585795</v>
          </cell>
        </row>
        <row r="9">
          <cell r="Q9">
            <v>815151</v>
          </cell>
        </row>
        <row r="10">
          <cell r="Q10">
            <v>135320</v>
          </cell>
        </row>
        <row r="11">
          <cell r="Q11">
            <v>254485</v>
          </cell>
        </row>
        <row r="12">
          <cell r="Q12">
            <v>73385</v>
          </cell>
        </row>
        <row r="13">
          <cell r="N13">
            <v>0</v>
          </cell>
          <cell r="Q13">
            <v>846380</v>
          </cell>
        </row>
      </sheetData>
      <sheetData sheetId="2">
        <row r="27">
          <cell r="R2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1"/>
  <sheetViews>
    <sheetView workbookViewId="0">
      <selection activeCell="D16" sqref="D16"/>
    </sheetView>
  </sheetViews>
  <sheetFormatPr baseColWidth="10" defaultRowHeight="15" x14ac:dyDescent="0.25"/>
  <cols>
    <col min="1" max="1" width="16.140625" customWidth="1"/>
    <col min="2" max="2" width="5.85546875" style="2" customWidth="1"/>
    <col min="3" max="3" width="5.85546875" style="7" customWidth="1"/>
    <col min="4" max="8" width="5.85546875" style="2" customWidth="1"/>
    <col min="9" max="9" width="7.42578125" style="2" bestFit="1" customWidth="1"/>
    <col min="10" max="10" width="7.42578125" style="2" customWidth="1"/>
    <col min="11" max="11" width="8.85546875" style="2" customWidth="1"/>
    <col min="12" max="12" width="9.28515625" style="2" customWidth="1"/>
    <col min="13" max="13" width="10.42578125" style="2" customWidth="1"/>
    <col min="14" max="15" width="8.42578125" style="2" customWidth="1"/>
    <col min="16" max="16" width="6.42578125" style="2" customWidth="1"/>
    <col min="17" max="17" width="9.42578125" style="2" customWidth="1"/>
  </cols>
  <sheetData>
    <row r="2" spans="1:17" ht="15" customHeight="1" x14ac:dyDescent="0.25">
      <c r="A2" s="32" t="s">
        <v>52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1" t="s">
        <v>2</v>
      </c>
      <c r="Q2" s="31" t="s">
        <v>30</v>
      </c>
    </row>
    <row r="3" spans="1:17" ht="15" customHeight="1" x14ac:dyDescent="0.25">
      <c r="A3" s="32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1"/>
      <c r="Q3" s="31"/>
    </row>
    <row r="4" spans="1:17" ht="21" customHeight="1" x14ac:dyDescent="0.25">
      <c r="A4" s="10" t="s">
        <v>53</v>
      </c>
      <c r="B4" s="11"/>
      <c r="C4" s="11"/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0</v>
      </c>
      <c r="K4" s="12"/>
      <c r="L4" s="12">
        <v>0</v>
      </c>
      <c r="M4" s="12">
        <f t="shared" ref="M4:M15" si="1">+J4+K4+L4</f>
        <v>0</v>
      </c>
      <c r="N4" s="11"/>
      <c r="O4" s="12"/>
      <c r="P4" s="12"/>
      <c r="Q4" s="12">
        <f t="shared" ref="Q4:Q16" si="2">+J4+K4-N4</f>
        <v>0</v>
      </c>
    </row>
    <row r="5" spans="1:17" ht="21" customHeight="1" x14ac:dyDescent="0.25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 x14ac:dyDescent="0.25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 x14ac:dyDescent="0.25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 x14ac:dyDescent="0.25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 x14ac:dyDescent="0.25">
      <c r="A9" s="10" t="s">
        <v>23</v>
      </c>
      <c r="B9" s="11"/>
      <c r="C9" s="11">
        <v>10</v>
      </c>
      <c r="D9" s="11"/>
      <c r="E9" s="11"/>
      <c r="F9" s="11"/>
      <c r="G9" s="11"/>
      <c r="H9" s="11"/>
      <c r="I9" s="11"/>
      <c r="J9" s="12">
        <f t="shared" si="0"/>
        <v>800</v>
      </c>
      <c r="K9" s="12"/>
      <c r="L9" s="12">
        <v>0</v>
      </c>
      <c r="M9" s="12">
        <f t="shared" si="1"/>
        <v>800</v>
      </c>
      <c r="N9" s="11"/>
      <c r="O9" s="12"/>
      <c r="P9" s="12"/>
      <c r="Q9" s="12">
        <f t="shared" si="2"/>
        <v>800</v>
      </c>
    </row>
    <row r="10" spans="1:17" ht="21" customHeight="1" x14ac:dyDescent="0.25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60500</v>
      </c>
      <c r="L10" s="12">
        <v>0</v>
      </c>
      <c r="M10" s="12">
        <f>+J10+K10+L10</f>
        <v>68500</v>
      </c>
      <c r="N10" s="11">
        <v>8000</v>
      </c>
      <c r="O10" s="12">
        <f>+'[1]AGENCE CARREF'!$N10</f>
        <v>0</v>
      </c>
      <c r="P10" s="12"/>
      <c r="Q10" s="12">
        <f t="shared" si="2"/>
        <v>60500</v>
      </c>
    </row>
    <row r="11" spans="1:17" ht="21" customHeight="1" x14ac:dyDescent="0.25">
      <c r="A11" s="10" t="s">
        <v>25</v>
      </c>
      <c r="B11" s="11"/>
      <c r="C11" s="11">
        <v>210</v>
      </c>
      <c r="D11" s="11"/>
      <c r="E11" s="11"/>
      <c r="F11" s="11"/>
      <c r="G11" s="11"/>
      <c r="H11" s="11"/>
      <c r="I11" s="11"/>
      <c r="J11" s="12">
        <f t="shared" si="0"/>
        <v>16800</v>
      </c>
      <c r="K11" s="12">
        <f>+'[1]AGENCE CARREF'!$Q11</f>
        <v>294640</v>
      </c>
      <c r="L11" s="12">
        <v>0</v>
      </c>
      <c r="M11" s="12">
        <f t="shared" si="1"/>
        <v>311440</v>
      </c>
      <c r="N11" s="11">
        <v>0</v>
      </c>
      <c r="O11" s="12">
        <f>+'[1]AGENCE CARREF'!$N11</f>
        <v>0</v>
      </c>
      <c r="P11" s="12"/>
      <c r="Q11" s="12">
        <f t="shared" si="2"/>
        <v>311440</v>
      </c>
    </row>
    <row r="12" spans="1:17" ht="21" customHeight="1" x14ac:dyDescent="0.25">
      <c r="A12" s="10" t="s">
        <v>49</v>
      </c>
      <c r="B12" s="11"/>
      <c r="C12" s="11">
        <v>120</v>
      </c>
      <c r="D12" s="11"/>
      <c r="E12" s="11">
        <v>50</v>
      </c>
      <c r="F12" s="11"/>
      <c r="G12" s="11"/>
      <c r="H12" s="11"/>
      <c r="I12" s="11"/>
      <c r="J12" s="12">
        <f t="shared" si="0"/>
        <v>17600</v>
      </c>
      <c r="K12" s="12">
        <f>+'[1]AGENCE CARREF'!$Q12</f>
        <v>9370</v>
      </c>
      <c r="L12" s="12">
        <v>1500</v>
      </c>
      <c r="M12" s="12">
        <f>+J12+K12+L12</f>
        <v>28470</v>
      </c>
      <c r="N12" s="11"/>
      <c r="O12" s="12">
        <f>+'[1]AGENCE CARREF'!$N12</f>
        <v>15600</v>
      </c>
      <c r="P12" s="12"/>
      <c r="Q12" s="12">
        <f t="shared" si="2"/>
        <v>26970</v>
      </c>
    </row>
    <row r="13" spans="1:17" ht="21" customHeight="1" x14ac:dyDescent="0.25">
      <c r="A13" s="10" t="s">
        <v>81</v>
      </c>
      <c r="B13" s="11"/>
      <c r="C13" s="11">
        <v>350</v>
      </c>
      <c r="D13" s="11">
        <v>725</v>
      </c>
      <c r="E13" s="11">
        <v>10</v>
      </c>
      <c r="F13" s="11"/>
      <c r="G13" s="11"/>
      <c r="H13" s="11"/>
      <c r="I13" s="11"/>
      <c r="J13" s="12">
        <f t="shared" si="0"/>
        <v>102100</v>
      </c>
      <c r="K13" s="12">
        <f>+'[1]AGENCE CARREF'!$Q13</f>
        <v>-28860</v>
      </c>
      <c r="L13" s="12"/>
      <c r="M13" s="12">
        <f>+J13+K13+L13</f>
        <v>73240</v>
      </c>
      <c r="N13" s="11"/>
      <c r="O13" s="12">
        <f>+'[1]AGENCE CARREF'!$N13</f>
        <v>77000</v>
      </c>
      <c r="P13" s="12"/>
      <c r="Q13" s="12">
        <f t="shared" si="2"/>
        <v>73240</v>
      </c>
    </row>
    <row r="14" spans="1:17" ht="21" customHeight="1" x14ac:dyDescent="0.25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-2803265</v>
      </c>
      <c r="L14" s="12">
        <v>0</v>
      </c>
      <c r="M14" s="12">
        <f t="shared" si="1"/>
        <v>-2803265</v>
      </c>
      <c r="N14" s="11">
        <v>115950</v>
      </c>
      <c r="O14" s="12">
        <f>+'[1]AGENCE CARREF'!$N14</f>
        <v>70500</v>
      </c>
      <c r="P14" s="12"/>
      <c r="Q14" s="12">
        <f t="shared" si="2"/>
        <v>-2919215</v>
      </c>
    </row>
    <row r="15" spans="1:17" ht="21" customHeight="1" x14ac:dyDescent="0.25">
      <c r="A15" s="10" t="s">
        <v>77</v>
      </c>
      <c r="B15" s="11">
        <v>400</v>
      </c>
      <c r="C15" s="11">
        <v>272</v>
      </c>
      <c r="D15" s="11"/>
      <c r="E15" s="11"/>
      <c r="F15" s="11"/>
      <c r="G15" s="11"/>
      <c r="H15" s="11"/>
      <c r="I15" s="11"/>
      <c r="J15" s="12">
        <f t="shared" si="0"/>
        <v>37760</v>
      </c>
      <c r="K15" s="12">
        <f>+'[1]AGENCE CARREF'!$Q15</f>
        <v>-425970</v>
      </c>
      <c r="L15" s="12">
        <v>0</v>
      </c>
      <c r="M15" s="12">
        <f t="shared" si="1"/>
        <v>-388210</v>
      </c>
      <c r="N15" s="11">
        <v>37750</v>
      </c>
      <c r="O15" s="12">
        <f>+'[1]AGENCE CARREF'!$N15</f>
        <v>0</v>
      </c>
      <c r="P15" s="12"/>
      <c r="Q15" s="12">
        <f t="shared" si="2"/>
        <v>-425960</v>
      </c>
    </row>
    <row r="16" spans="1:17" ht="21" customHeight="1" x14ac:dyDescent="0.25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 x14ac:dyDescent="0.25">
      <c r="A17" s="16" t="s">
        <v>79</v>
      </c>
      <c r="B17" s="11"/>
      <c r="C17" s="11">
        <v>120</v>
      </c>
      <c r="D17" s="11"/>
      <c r="E17" s="11">
        <v>50</v>
      </c>
      <c r="F17" s="11"/>
      <c r="G17" s="11"/>
      <c r="H17" s="11"/>
      <c r="I17" s="11"/>
      <c r="J17" s="12">
        <f>+B17*40+C17*80+D17*100+E17*160+F17*125+H17*80+I17*100</f>
        <v>17600</v>
      </c>
      <c r="K17" s="12">
        <f>+'[1]AGENCE CARREF'!$Q17</f>
        <v>-10000</v>
      </c>
      <c r="L17" s="12">
        <v>24000</v>
      </c>
      <c r="M17" s="12">
        <f>+J17+K17+L17</f>
        <v>31600</v>
      </c>
      <c r="N17" s="11">
        <v>17600</v>
      </c>
      <c r="O17" s="12">
        <f>+'[1]AGENCE CARREF'!$N17</f>
        <v>18000</v>
      </c>
      <c r="P17" s="12"/>
      <c r="Q17" s="12">
        <f>+J17+K17-N17</f>
        <v>-10000</v>
      </c>
    </row>
    <row r="18" spans="1:17" ht="21" customHeight="1" x14ac:dyDescent="0.25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+'[2]AGENCE CARREF'!$N18</f>
        <v>0</v>
      </c>
      <c r="P18" s="12"/>
      <c r="Q18" s="12">
        <f>+J18+K18-N18</f>
        <v>0</v>
      </c>
    </row>
    <row r="19" spans="1:17" ht="21" customHeight="1" x14ac:dyDescent="0.25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+'[2]AGENCE CARREF'!$N19</f>
        <v>0</v>
      </c>
      <c r="P19" s="12"/>
      <c r="Q19" s="12">
        <f>+J19+K19-N19</f>
        <v>0</v>
      </c>
    </row>
    <row r="20" spans="1:17" ht="21" customHeight="1" x14ac:dyDescent="0.25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+'[2]AGENCE CARREF'!$N20</f>
        <v>0</v>
      </c>
      <c r="P20" s="12"/>
      <c r="Q20" s="12">
        <f>+J20+K20-N20</f>
        <v>0</v>
      </c>
    </row>
    <row r="21" spans="1:17" s="3" customFormat="1" ht="21" customHeight="1" x14ac:dyDescent="0.25">
      <c r="A21" s="18" t="s">
        <v>58</v>
      </c>
      <c r="B21" s="9">
        <f>+SUM(B4:B20)</f>
        <v>400</v>
      </c>
      <c r="C21" s="9">
        <f t="shared" ref="C21:Q21" si="3">+SUM(C4:C20)</f>
        <v>1182</v>
      </c>
      <c r="D21" s="9">
        <f>+SUM(D4:D20)</f>
        <v>725</v>
      </c>
      <c r="E21" s="9">
        <f t="shared" si="3"/>
        <v>110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200660</v>
      </c>
      <c r="K21" s="9">
        <f t="shared" si="3"/>
        <v>-2338025</v>
      </c>
      <c r="L21" s="9">
        <f t="shared" si="3"/>
        <v>89200</v>
      </c>
      <c r="M21" s="9">
        <f t="shared" si="3"/>
        <v>-2613725</v>
      </c>
      <c r="N21" s="9">
        <f t="shared" si="3"/>
        <v>179300</v>
      </c>
      <c r="O21" s="9">
        <f t="shared" si="3"/>
        <v>181100</v>
      </c>
      <c r="P21" s="9"/>
      <c r="Q21" s="9">
        <f t="shared" si="3"/>
        <v>-2316665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workbookViewId="0">
      <selection activeCell="N4" sqref="N4:N15"/>
    </sheetView>
  </sheetViews>
  <sheetFormatPr baseColWidth="10" defaultRowHeight="15" x14ac:dyDescent="0.25"/>
  <cols>
    <col min="1" max="1" width="17.85546875" customWidth="1"/>
    <col min="2" max="2" width="4.28515625" style="2" customWidth="1"/>
    <col min="3" max="3" width="6.42578125" style="2" customWidth="1"/>
    <col min="4" max="4" width="5.5703125" style="2" customWidth="1"/>
    <col min="5" max="5" width="6.140625" style="2" customWidth="1"/>
    <col min="6" max="6" width="5.7109375" style="2" customWidth="1"/>
    <col min="7" max="7" width="5.5703125" style="2" customWidth="1"/>
    <col min="8" max="8" width="6" style="2" customWidth="1"/>
    <col min="9" max="9" width="6.42578125" style="2" bestFit="1" customWidth="1"/>
    <col min="10" max="10" width="8.7109375" style="2" customWidth="1"/>
    <col min="11" max="11" width="8.85546875" style="2" customWidth="1"/>
    <col min="12" max="12" width="9.7109375" style="6" customWidth="1"/>
    <col min="13" max="13" width="10.42578125" style="6" customWidth="1"/>
    <col min="14" max="14" width="9.140625" style="7" customWidth="1"/>
    <col min="15" max="15" width="7.28515625" style="7" customWidth="1"/>
    <col min="16" max="16" width="6.5703125" style="5" customWidth="1"/>
    <col min="17" max="17" width="8.7109375" customWidth="1"/>
  </cols>
  <sheetData>
    <row r="1" spans="1:17" x14ac:dyDescent="0.25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0" t="s">
        <v>28</v>
      </c>
      <c r="N1" s="21">
        <f ca="1">+TODAY()</f>
        <v>46252</v>
      </c>
      <c r="O1" s="21"/>
      <c r="P1" s="10"/>
      <c r="Q1" s="10"/>
    </row>
    <row r="2" spans="1:17" s="1" customFormat="1" x14ac:dyDescent="0.25">
      <c r="A2" s="32" t="s">
        <v>0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2" t="s">
        <v>2</v>
      </c>
      <c r="Q2" s="32" t="s">
        <v>30</v>
      </c>
    </row>
    <row r="3" spans="1:17" s="1" customFormat="1" ht="22.5" x14ac:dyDescent="0.25">
      <c r="A3" s="32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2"/>
      <c r="Q3" s="32"/>
    </row>
    <row r="4" spans="1:17" ht="24.75" customHeight="1" x14ac:dyDescent="0.25">
      <c r="A4" s="10" t="s">
        <v>12</v>
      </c>
      <c r="B4" s="11"/>
      <c r="C4" s="11">
        <v>250</v>
      </c>
      <c r="D4" s="11">
        <v>480</v>
      </c>
      <c r="E4" s="11"/>
      <c r="F4" s="11"/>
      <c r="G4" s="11"/>
      <c r="H4" s="11"/>
      <c r="I4" s="11">
        <v>10</v>
      </c>
      <c r="J4" s="12">
        <f t="shared" ref="J4:J17" si="0">+B4*40+C4*75+D4*100+E4*160+F4*160+H4*80+I4*100</f>
        <v>67750</v>
      </c>
      <c r="K4" s="12">
        <f>+'[1]LIVREUR EXTERNE'!$Q4</f>
        <v>548280</v>
      </c>
      <c r="L4" s="12">
        <v>2003045</v>
      </c>
      <c r="M4" s="12">
        <f>+SUM(J4:L4)</f>
        <v>2619075</v>
      </c>
      <c r="N4" s="11">
        <v>126700</v>
      </c>
      <c r="O4" s="12">
        <f>+'[1]LIVREUR EXTERNE'!$N4</f>
        <v>0</v>
      </c>
      <c r="P4" s="10"/>
      <c r="Q4" s="13">
        <f>+J4+K4-N4</f>
        <v>489330</v>
      </c>
    </row>
    <row r="5" spans="1:17" ht="24.75" customHeight="1" x14ac:dyDescent="0.25">
      <c r="A5" s="10" t="s">
        <v>19</v>
      </c>
      <c r="B5" s="11"/>
      <c r="C5" s="11">
        <v>400</v>
      </c>
      <c r="D5" s="11">
        <v>50</v>
      </c>
      <c r="E5" s="11"/>
      <c r="F5" s="11"/>
      <c r="G5" s="11"/>
      <c r="H5" s="11"/>
      <c r="I5" s="11"/>
      <c r="J5" s="12">
        <f t="shared" si="0"/>
        <v>35000</v>
      </c>
      <c r="K5" s="12">
        <f>+'[3]LIVREUR EXTERNE'!$Q5</f>
        <v>411840</v>
      </c>
      <c r="L5" s="12">
        <v>833780</v>
      </c>
      <c r="M5" s="12">
        <f t="shared" ref="M5:M17" si="1">+SUM(J5:L5)</f>
        <v>1280620</v>
      </c>
      <c r="N5" s="11"/>
      <c r="O5" s="12">
        <f>+'[1]LIVREUR EXTERNE'!$N5</f>
        <v>65000</v>
      </c>
      <c r="P5" s="10"/>
      <c r="Q5" s="13">
        <f t="shared" ref="Q5:Q17" si="2">+J5+K5-N5</f>
        <v>446840</v>
      </c>
    </row>
    <row r="6" spans="1:17" ht="24.75" customHeight="1" x14ac:dyDescent="0.25">
      <c r="A6" s="10" t="s">
        <v>26</v>
      </c>
      <c r="B6" s="11"/>
      <c r="C6" s="11">
        <v>1200</v>
      </c>
      <c r="D6" s="11">
        <v>475</v>
      </c>
      <c r="E6" s="11"/>
      <c r="F6" s="11"/>
      <c r="G6" s="11"/>
      <c r="H6" s="11"/>
      <c r="I6" s="11"/>
      <c r="J6" s="12">
        <f t="shared" si="0"/>
        <v>137500</v>
      </c>
      <c r="K6" s="12">
        <f>+'[3]LIVREUR EXTERNE'!$Q6</f>
        <v>685105</v>
      </c>
      <c r="L6" s="12">
        <v>1466430</v>
      </c>
      <c r="M6" s="12">
        <f t="shared" si="1"/>
        <v>2289035</v>
      </c>
      <c r="N6" s="11">
        <v>250000</v>
      </c>
      <c r="O6" s="12">
        <f>+'[1]LIVREUR EXTERNE'!$N6</f>
        <v>0</v>
      </c>
      <c r="P6" s="10"/>
      <c r="Q6" s="13">
        <f t="shared" si="2"/>
        <v>572605</v>
      </c>
    </row>
    <row r="7" spans="1:17" ht="24.75" customHeight="1" x14ac:dyDescent="0.25">
      <c r="A7" s="10" t="s">
        <v>15</v>
      </c>
      <c r="B7" s="11"/>
      <c r="C7" s="11">
        <v>1085</v>
      </c>
      <c r="D7" s="11">
        <v>1005</v>
      </c>
      <c r="E7" s="11">
        <v>5</v>
      </c>
      <c r="F7" s="11"/>
      <c r="G7" s="11"/>
      <c r="H7" s="11"/>
      <c r="I7" s="11">
        <v>4</v>
      </c>
      <c r="J7" s="12">
        <f t="shared" si="0"/>
        <v>183075</v>
      </c>
      <c r="K7" s="12">
        <f>+'[3]LIVREUR EXTERNE'!$Q7</f>
        <v>608010</v>
      </c>
      <c r="L7" s="12">
        <v>1897085</v>
      </c>
      <c r="M7" s="12">
        <f t="shared" si="1"/>
        <v>2688170</v>
      </c>
      <c r="N7" s="11">
        <v>181000</v>
      </c>
      <c r="O7" s="12">
        <f>+'[1]LIVREUR EXTERNE'!$N7</f>
        <v>175000</v>
      </c>
      <c r="P7" s="10"/>
      <c r="Q7" s="13">
        <f t="shared" si="2"/>
        <v>610085</v>
      </c>
    </row>
    <row r="8" spans="1:17" ht="24.75" customHeight="1" x14ac:dyDescent="0.25">
      <c r="A8" s="10" t="s">
        <v>17</v>
      </c>
      <c r="B8" s="11"/>
      <c r="C8" s="11">
        <v>795</v>
      </c>
      <c r="D8" s="11">
        <v>750</v>
      </c>
      <c r="E8" s="11">
        <v>5</v>
      </c>
      <c r="F8" s="11"/>
      <c r="G8" s="11"/>
      <c r="H8" s="11"/>
      <c r="I8" s="11"/>
      <c r="J8" s="12">
        <f t="shared" si="0"/>
        <v>135425</v>
      </c>
      <c r="K8" s="12">
        <f>+'[3]LIVREUR EXTERNE'!$Q8</f>
        <v>585795</v>
      </c>
      <c r="L8" s="12">
        <v>1412040</v>
      </c>
      <c r="M8" s="12">
        <f t="shared" si="1"/>
        <v>2133260</v>
      </c>
      <c r="N8" s="11">
        <v>137000</v>
      </c>
      <c r="O8" s="12">
        <f>+'[1]LIVREUR EXTERNE'!$N8</f>
        <v>110000</v>
      </c>
      <c r="P8" s="10"/>
      <c r="Q8" s="13">
        <f t="shared" si="2"/>
        <v>584220</v>
      </c>
    </row>
    <row r="9" spans="1:17" ht="24.75" customHeight="1" x14ac:dyDescent="0.25">
      <c r="A9" s="10" t="s">
        <v>29</v>
      </c>
      <c r="B9" s="11"/>
      <c r="C9" s="11">
        <v>810</v>
      </c>
      <c r="D9" s="11">
        <v>650</v>
      </c>
      <c r="E9" s="11">
        <v>7</v>
      </c>
      <c r="F9" s="11"/>
      <c r="G9" s="11"/>
      <c r="H9" s="11"/>
      <c r="I9" s="11"/>
      <c r="J9" s="12">
        <f t="shared" si="0"/>
        <v>126870</v>
      </c>
      <c r="K9" s="12">
        <f>+'[3]LIVREUR EXTERNE'!$Q9</f>
        <v>815151</v>
      </c>
      <c r="L9" s="12">
        <v>2175630</v>
      </c>
      <c r="M9" s="12">
        <f t="shared" si="1"/>
        <v>3117651</v>
      </c>
      <c r="N9" s="11">
        <v>136000</v>
      </c>
      <c r="O9" s="12">
        <f>+'[1]LIVREUR EXTERNE'!$N9</f>
        <v>77000</v>
      </c>
      <c r="P9" s="10"/>
      <c r="Q9" s="13">
        <f t="shared" si="2"/>
        <v>806021</v>
      </c>
    </row>
    <row r="10" spans="1:17" ht="24.75" customHeight="1" x14ac:dyDescent="0.25">
      <c r="A10" s="10" t="s">
        <v>21</v>
      </c>
      <c r="B10" s="11"/>
      <c r="C10" s="11">
        <v>775</v>
      </c>
      <c r="D10" s="11">
        <v>700</v>
      </c>
      <c r="E10" s="11">
        <v>28</v>
      </c>
      <c r="F10" s="11"/>
      <c r="G10" s="11"/>
      <c r="H10" s="11"/>
      <c r="I10" s="11">
        <v>10</v>
      </c>
      <c r="J10" s="12">
        <f t="shared" si="0"/>
        <v>133605</v>
      </c>
      <c r="K10" s="12">
        <f>+'[3]LIVREUR EXTERNE'!$Q10</f>
        <v>135320</v>
      </c>
      <c r="L10" s="12">
        <v>1337940</v>
      </c>
      <c r="M10" s="12">
        <f t="shared" si="1"/>
        <v>1606865</v>
      </c>
      <c r="N10" s="11">
        <v>133625</v>
      </c>
      <c r="O10" s="12">
        <f>+'[1]LIVREUR EXTERNE'!$N10</f>
        <v>116875</v>
      </c>
      <c r="P10" s="10"/>
      <c r="Q10" s="13">
        <f t="shared" si="2"/>
        <v>135300</v>
      </c>
    </row>
    <row r="11" spans="1:17" ht="24.75" customHeight="1" x14ac:dyDescent="0.25">
      <c r="A11" s="10" t="s">
        <v>14</v>
      </c>
      <c r="B11" s="14"/>
      <c r="C11" s="14">
        <v>645</v>
      </c>
      <c r="D11" s="14">
        <v>750</v>
      </c>
      <c r="E11" s="14">
        <v>18</v>
      </c>
      <c r="F11" s="14"/>
      <c r="G11" s="14"/>
      <c r="H11" s="14"/>
      <c r="I11" s="14"/>
      <c r="J11" s="15">
        <f t="shared" si="0"/>
        <v>126255</v>
      </c>
      <c r="K11" s="12">
        <f>+'[3]LIVREUR EXTERNE'!$Q11</f>
        <v>254485</v>
      </c>
      <c r="L11" s="15">
        <v>582810</v>
      </c>
      <c r="M11" s="12">
        <f t="shared" si="1"/>
        <v>963550</v>
      </c>
      <c r="N11" s="14"/>
      <c r="O11" s="12">
        <f>+'[1]LIVREUR EXTERNE'!$N11</f>
        <v>0</v>
      </c>
      <c r="P11" s="16"/>
      <c r="Q11" s="13">
        <f t="shared" si="2"/>
        <v>380740</v>
      </c>
    </row>
    <row r="12" spans="1:17" ht="24.75" customHeight="1" x14ac:dyDescent="0.25">
      <c r="A12" s="10" t="s">
        <v>75</v>
      </c>
      <c r="B12" s="14"/>
      <c r="C12" s="14">
        <v>130</v>
      </c>
      <c r="D12" s="14">
        <v>298</v>
      </c>
      <c r="E12" s="14">
        <v>27</v>
      </c>
      <c r="F12" s="14"/>
      <c r="G12" s="14"/>
      <c r="H12" s="14"/>
      <c r="I12" s="14"/>
      <c r="J12" s="15">
        <f t="shared" si="0"/>
        <v>43870</v>
      </c>
      <c r="K12" s="12">
        <f>+'[3]LIVREUR EXTERNE'!$Q12</f>
        <v>73385</v>
      </c>
      <c r="L12" s="15">
        <v>0</v>
      </c>
      <c r="M12" s="12">
        <f t="shared" si="1"/>
        <v>117255</v>
      </c>
      <c r="N12" s="14">
        <v>44350</v>
      </c>
      <c r="O12" s="12">
        <f>+'[1]LIVREUR EXTERNE'!$N12</f>
        <v>41300</v>
      </c>
      <c r="P12" s="16"/>
      <c r="Q12" s="13">
        <f t="shared" si="2"/>
        <v>72905</v>
      </c>
    </row>
    <row r="13" spans="1:17" ht="24.75" customHeight="1" x14ac:dyDescent="0.25">
      <c r="A13" s="10" t="s">
        <v>76</v>
      </c>
      <c r="B13" s="14"/>
      <c r="C13" s="14">
        <v>1246</v>
      </c>
      <c r="D13" s="14">
        <v>1575</v>
      </c>
      <c r="E13" s="14"/>
      <c r="F13" s="14"/>
      <c r="G13" s="14"/>
      <c r="H13" s="14"/>
      <c r="I13" s="14"/>
      <c r="J13" s="15">
        <f t="shared" si="0"/>
        <v>250950</v>
      </c>
      <c r="K13" s="12">
        <f>+'[3]LIVREUR EXTERNE'!$Q13</f>
        <v>846380</v>
      </c>
      <c r="L13" s="15">
        <v>0</v>
      </c>
      <c r="M13" s="12">
        <f t="shared" si="1"/>
        <v>1097330</v>
      </c>
      <c r="N13" s="14">
        <v>235000</v>
      </c>
      <c r="O13" s="12">
        <f>+'[3]LIVREUR EXTERNE'!$N13</f>
        <v>0</v>
      </c>
      <c r="P13" s="16"/>
      <c r="Q13" s="13">
        <f>+J13+K13-N13</f>
        <v>862330</v>
      </c>
    </row>
    <row r="14" spans="1:17" ht="24.75" customHeight="1" x14ac:dyDescent="0.25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+'[2]LIVREUR EXTERNE'!$N14</f>
        <v>0</v>
      </c>
      <c r="P14" s="16"/>
      <c r="Q14" s="13">
        <f t="shared" si="2"/>
        <v>0</v>
      </c>
    </row>
    <row r="15" spans="1:17" ht="24.75" customHeight="1" x14ac:dyDescent="0.25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 x14ac:dyDescent="0.25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 x14ac:dyDescent="0.25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 x14ac:dyDescent="0.25">
      <c r="A18" s="18" t="s">
        <v>22</v>
      </c>
      <c r="B18" s="9">
        <f>+SUM(B4:B17)</f>
        <v>0</v>
      </c>
      <c r="C18" s="9">
        <f t="shared" ref="C18:N18" si="3">+SUM(C4:C17)</f>
        <v>7336</v>
      </c>
      <c r="D18" s="9">
        <f t="shared" si="3"/>
        <v>6733</v>
      </c>
      <c r="E18" s="9">
        <f>+SUM(E4:E17)</f>
        <v>90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24</v>
      </c>
      <c r="J18" s="9">
        <f t="shared" si="3"/>
        <v>1240300</v>
      </c>
      <c r="K18" s="9">
        <f>+SUM(K4:K17)</f>
        <v>4963751</v>
      </c>
      <c r="L18" s="9">
        <f>+SUM(L4:L17)</f>
        <v>13467865</v>
      </c>
      <c r="M18" s="9">
        <f t="shared" si="3"/>
        <v>19671916</v>
      </c>
      <c r="N18" s="9">
        <f t="shared" si="3"/>
        <v>1243675</v>
      </c>
      <c r="O18" s="9"/>
      <c r="P18" s="18"/>
      <c r="Q18" s="19">
        <f>+SUM(Q4:Q17)</f>
        <v>4960376</v>
      </c>
    </row>
    <row r="20" spans="1:17" ht="15" customHeight="1" x14ac:dyDescent="0.25">
      <c r="B20" s="22"/>
      <c r="C20" s="22"/>
      <c r="D20" s="22"/>
      <c r="E20" s="22"/>
    </row>
    <row r="30" spans="1:17" x14ac:dyDescent="0.25">
      <c r="B30" s="22"/>
    </row>
    <row r="31" spans="1:17" x14ac:dyDescent="0.25">
      <c r="B31" s="22">
        <f>+B18+'AGENCE CARREF'!B21+'LIVREUR INTERNE ETC'!B15</f>
        <v>950</v>
      </c>
      <c r="C31" s="22">
        <f>+C18+'AGENCE CARREF'!C21+'LIVREUR INTERNE ETC'!C15+'LIVREUR INTERNE ETC'!B21</f>
        <v>14763</v>
      </c>
      <c r="D31" s="22">
        <f>+D18+'AGENCE CARREF'!D21+'LIVREUR INTERNE ETC'!D15+'LIVREUR INTERNE ETC'!C21</f>
        <v>7513</v>
      </c>
      <c r="E31" s="22">
        <f>+E18+'AGENCE CARREF'!E21+'LIVREUR INTERNE ETC'!E15</f>
        <v>560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"/>
  <sheetViews>
    <sheetView tabSelected="1" zoomScaleNormal="100" workbookViewId="0">
      <selection activeCell="R22" sqref="R22"/>
    </sheetView>
  </sheetViews>
  <sheetFormatPr baseColWidth="10" defaultRowHeight="15" x14ac:dyDescent="0.25"/>
  <cols>
    <col min="1" max="1" width="16" customWidth="1"/>
    <col min="2" max="2" width="4.7109375" style="7" bestFit="1" customWidth="1"/>
    <col min="3" max="3" width="5" style="7" customWidth="1"/>
    <col min="4" max="6" width="4.7109375" style="7" bestFit="1" customWidth="1"/>
    <col min="7" max="7" width="5.140625" style="7" customWidth="1"/>
    <col min="8" max="8" width="5.42578125" style="7" customWidth="1"/>
    <col min="9" max="9" width="4" style="7" customWidth="1"/>
    <col min="10" max="10" width="4.7109375" style="7" customWidth="1"/>
    <col min="11" max="11" width="4.7109375" style="7" bestFit="1" customWidth="1"/>
    <col min="12" max="12" width="5.7109375" style="7" customWidth="1"/>
    <col min="13" max="13" width="5.5703125" style="7" customWidth="1"/>
    <col min="14" max="15" width="8.140625" style="6" customWidth="1"/>
    <col min="16" max="16" width="9.140625" style="6" customWidth="1"/>
    <col min="17" max="17" width="9.7109375" style="6" customWidth="1"/>
    <col min="18" max="18" width="8.85546875" style="7" customWidth="1"/>
    <col min="19" max="19" width="7.5703125" style="7" customWidth="1"/>
    <col min="20" max="20" width="4.42578125" style="7" customWidth="1"/>
    <col min="21" max="21" width="8.85546875" style="2" customWidth="1"/>
  </cols>
  <sheetData>
    <row r="1" spans="1:21" s="4" customFormat="1" ht="15" customHeight="1" x14ac:dyDescent="0.25">
      <c r="A1" s="32" t="s">
        <v>0</v>
      </c>
      <c r="B1" s="31" t="s">
        <v>33</v>
      </c>
      <c r="C1" s="31"/>
      <c r="D1" s="31"/>
      <c r="E1" s="31"/>
      <c r="F1" s="31" t="s">
        <v>32</v>
      </c>
      <c r="G1" s="31"/>
      <c r="H1" s="31"/>
      <c r="I1" s="31"/>
      <c r="J1" s="31"/>
      <c r="K1" s="8" t="s">
        <v>6</v>
      </c>
      <c r="L1" s="8" t="s">
        <v>31</v>
      </c>
      <c r="M1" s="8"/>
      <c r="N1" s="31" t="s">
        <v>8</v>
      </c>
      <c r="O1" s="31" t="s">
        <v>9</v>
      </c>
      <c r="P1" s="31" t="s">
        <v>10</v>
      </c>
      <c r="Q1" s="31" t="s">
        <v>11</v>
      </c>
      <c r="R1" s="31" t="s">
        <v>1</v>
      </c>
      <c r="S1" s="31" t="s">
        <v>46</v>
      </c>
      <c r="T1" s="31" t="s">
        <v>2</v>
      </c>
      <c r="U1" s="31" t="s">
        <v>30</v>
      </c>
    </row>
    <row r="2" spans="1:21" s="4" customFormat="1" ht="33.75" x14ac:dyDescent="0.25">
      <c r="A2" s="32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1"/>
      <c r="O2" s="31"/>
      <c r="P2" s="31"/>
      <c r="Q2" s="31"/>
      <c r="R2" s="31"/>
      <c r="S2" s="31"/>
      <c r="T2" s="31"/>
      <c r="U2" s="31"/>
    </row>
    <row r="3" spans="1:21" ht="22.5" customHeight="1" x14ac:dyDescent="0.25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 x14ac:dyDescent="0.25">
      <c r="A4" s="10" t="s">
        <v>40</v>
      </c>
      <c r="B4" s="11"/>
      <c r="C4" s="11">
        <v>40</v>
      </c>
      <c r="D4" s="11">
        <v>25</v>
      </c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5700</v>
      </c>
      <c r="O4" s="12">
        <f>+'[1]LIVREUR INTERNE ETC'!$U4</f>
        <v>284435</v>
      </c>
      <c r="P4" s="12">
        <v>476485</v>
      </c>
      <c r="Q4" s="12">
        <f t="shared" si="1"/>
        <v>766620</v>
      </c>
      <c r="R4" s="11"/>
      <c r="S4" s="12">
        <f>+'[1]LIVREUR INTERNE ETC'!$R4</f>
        <v>0</v>
      </c>
      <c r="T4" s="12"/>
      <c r="U4" s="12">
        <f t="shared" si="2"/>
        <v>290135</v>
      </c>
    </row>
    <row r="5" spans="1:21" ht="22.5" customHeight="1" x14ac:dyDescent="0.25">
      <c r="A5" s="10" t="s">
        <v>37</v>
      </c>
      <c r="B5" s="11"/>
      <c r="C5" s="11">
        <v>360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28800</v>
      </c>
      <c r="O5" s="12">
        <f>+'[1]LIVREUR INTERNE ETC'!$U5</f>
        <v>1672700</v>
      </c>
      <c r="P5" s="12">
        <v>91600</v>
      </c>
      <c r="Q5" s="12">
        <f t="shared" si="1"/>
        <v>1793100</v>
      </c>
      <c r="R5" s="11">
        <v>28500</v>
      </c>
      <c r="S5" s="12">
        <f>+'[1]LIVREUR INTERNE ETC'!$R5</f>
        <v>0</v>
      </c>
      <c r="T5" s="12"/>
      <c r="U5" s="12">
        <f t="shared" si="2"/>
        <v>1673000</v>
      </c>
    </row>
    <row r="6" spans="1:21" ht="22.5" customHeight="1" x14ac:dyDescent="0.25">
      <c r="A6" s="10" t="s">
        <v>39</v>
      </c>
      <c r="B6" s="11">
        <v>450</v>
      </c>
      <c r="C6" s="11">
        <v>1810</v>
      </c>
      <c r="D6" s="11">
        <v>10</v>
      </c>
      <c r="E6" s="11">
        <v>130</v>
      </c>
      <c r="F6" s="11"/>
      <c r="G6" s="11"/>
      <c r="H6" s="11"/>
      <c r="I6" s="11"/>
      <c r="J6" s="11"/>
      <c r="K6" s="11"/>
      <c r="L6" s="11"/>
      <c r="M6" s="11"/>
      <c r="N6" s="12">
        <f t="shared" si="0"/>
        <v>184600</v>
      </c>
      <c r="O6" s="12">
        <f>+'[1]LIVREUR INTERNE ETC'!$U6</f>
        <v>1091425</v>
      </c>
      <c r="P6" s="12">
        <v>785440</v>
      </c>
      <c r="Q6" s="12">
        <f t="shared" si="1"/>
        <v>2061465</v>
      </c>
      <c r="R6" s="11">
        <v>668000</v>
      </c>
      <c r="S6" s="12">
        <f>+'[1]LIVREUR INTERNE ETC'!$R6</f>
        <v>0</v>
      </c>
      <c r="T6" s="12"/>
      <c r="U6" s="12">
        <f t="shared" si="2"/>
        <v>608025</v>
      </c>
    </row>
    <row r="7" spans="1:21" ht="22.5" customHeight="1" x14ac:dyDescent="0.25">
      <c r="A7" s="10" t="s">
        <v>35</v>
      </c>
      <c r="B7" s="11">
        <v>100</v>
      </c>
      <c r="C7" s="11">
        <v>1330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2">
        <f t="shared" si="0"/>
        <v>110400</v>
      </c>
      <c r="O7" s="12">
        <f>+'[1]LIVREUR INTERNE ETC'!$U7</f>
        <v>-80390</v>
      </c>
      <c r="P7" s="12">
        <v>20920</v>
      </c>
      <c r="Q7" s="12">
        <f t="shared" si="1"/>
        <v>50930</v>
      </c>
      <c r="R7" s="11">
        <v>251600</v>
      </c>
      <c r="S7" s="12">
        <f>+'[1]LIVREUR INTERNE ETC'!$R7</f>
        <v>90000</v>
      </c>
      <c r="T7" s="12"/>
      <c r="U7" s="12">
        <f t="shared" si="2"/>
        <v>-221590</v>
      </c>
    </row>
    <row r="8" spans="1:21" ht="22.5" customHeight="1" x14ac:dyDescent="0.25">
      <c r="A8" s="29" t="s">
        <v>45</v>
      </c>
      <c r="B8" s="11"/>
      <c r="C8" s="11">
        <v>435</v>
      </c>
      <c r="D8" s="23"/>
      <c r="E8" s="11"/>
      <c r="F8" s="11"/>
      <c r="G8" s="11"/>
      <c r="H8" s="11"/>
      <c r="I8" s="11"/>
      <c r="J8" s="11"/>
      <c r="K8" s="11"/>
      <c r="L8" s="11"/>
      <c r="M8" s="11"/>
      <c r="N8" s="12">
        <f t="shared" si="0"/>
        <v>34800</v>
      </c>
      <c r="O8" s="12">
        <f>+'[1]LIVREUR INTERNE ETC'!$U8</f>
        <v>-48065</v>
      </c>
      <c r="P8" s="12">
        <v>0</v>
      </c>
      <c r="Q8" s="12">
        <f t="shared" si="1"/>
        <v>-13265</v>
      </c>
      <c r="R8" s="11">
        <v>59000</v>
      </c>
      <c r="S8" s="12">
        <f>+'[1]LIVREUR INTERNE ETC'!$R8</f>
        <v>0</v>
      </c>
      <c r="T8" s="12"/>
      <c r="U8" s="12">
        <f t="shared" si="2"/>
        <v>-72265</v>
      </c>
    </row>
    <row r="9" spans="1:21" ht="22.5" customHeight="1" x14ac:dyDescent="0.25">
      <c r="A9" s="10" t="s">
        <v>41</v>
      </c>
      <c r="B9" s="11"/>
      <c r="C9" s="11">
        <v>460</v>
      </c>
      <c r="D9" s="11">
        <v>20</v>
      </c>
      <c r="E9" s="11">
        <v>50</v>
      </c>
      <c r="F9" s="11"/>
      <c r="G9" s="11"/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46800</v>
      </c>
      <c r="O9" s="12">
        <f>+'[1]LIVREUR INTERNE ETC'!$U9</f>
        <v>317320</v>
      </c>
      <c r="P9" s="12">
        <v>0</v>
      </c>
      <c r="Q9" s="12">
        <f t="shared" si="1"/>
        <v>364120</v>
      </c>
      <c r="R9" s="11">
        <v>40000</v>
      </c>
      <c r="S9" s="12">
        <f>+'[1]LIVREUR INTERNE ETC'!$R9</f>
        <v>49000</v>
      </c>
      <c r="T9" s="12"/>
      <c r="U9" s="12">
        <f t="shared" si="2"/>
        <v>324120</v>
      </c>
    </row>
    <row r="10" spans="1:21" ht="22.5" customHeight="1" x14ac:dyDescent="0.25">
      <c r="A10" s="10" t="s">
        <v>82</v>
      </c>
      <c r="B10" s="11"/>
      <c r="C10" s="11">
        <v>1750</v>
      </c>
      <c r="D10" s="11"/>
      <c r="E10" s="11">
        <v>180</v>
      </c>
      <c r="F10" s="11"/>
      <c r="G10" s="11"/>
      <c r="H10" s="11"/>
      <c r="I10" s="11"/>
      <c r="J10" s="11"/>
      <c r="K10" s="11"/>
      <c r="L10" s="11"/>
      <c r="M10" s="11"/>
      <c r="N10" s="12">
        <f t="shared" si="3"/>
        <v>168800</v>
      </c>
      <c r="O10" s="12">
        <f>+'[1]LIVREUR INTERNE ETC'!$U10</f>
        <v>283500</v>
      </c>
      <c r="P10" s="12"/>
      <c r="Q10" s="12">
        <f t="shared" si="1"/>
        <v>452300</v>
      </c>
      <c r="R10" s="11">
        <v>263500</v>
      </c>
      <c r="S10" s="12">
        <f>+'[1]LIVREUR INTERNE ETC'!$R10</f>
        <v>181000</v>
      </c>
      <c r="T10" s="12"/>
      <c r="U10" s="12">
        <f t="shared" si="2"/>
        <v>188800</v>
      </c>
    </row>
    <row r="11" spans="1:21" ht="22.5" customHeight="1" x14ac:dyDescent="0.25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+'[2]LIVREUR INTERNE ETC'!$U11</f>
        <v>0</v>
      </c>
      <c r="P11" s="12">
        <v>1785760</v>
      </c>
      <c r="Q11" s="12">
        <f t="shared" si="1"/>
        <v>1785760</v>
      </c>
      <c r="R11" s="11"/>
      <c r="S11" s="12">
        <f>+'[2]LIVREUR INTERNE ETC'!$R11</f>
        <v>0</v>
      </c>
      <c r="T11" s="12"/>
      <c r="U11" s="12">
        <f t="shared" si="2"/>
        <v>0</v>
      </c>
    </row>
    <row r="12" spans="1:21" ht="22.5" customHeight="1" x14ac:dyDescent="0.25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+'[2]LIVREUR INTERNE ETC'!$U12</f>
        <v>0</v>
      </c>
      <c r="P12" s="12">
        <v>1912780</v>
      </c>
      <c r="Q12" s="12">
        <f t="shared" si="1"/>
        <v>1912780</v>
      </c>
      <c r="R12" s="11"/>
      <c r="S12" s="12">
        <f>+'[2]LIVREUR INTERNE ETC'!$R12</f>
        <v>0</v>
      </c>
      <c r="T12" s="12"/>
      <c r="U12" s="12">
        <f t="shared" si="2"/>
        <v>0</v>
      </c>
    </row>
    <row r="13" spans="1:21" ht="22.5" customHeight="1" x14ac:dyDescent="0.25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+'[2]LIVREUR INTERNE ETC'!$U13</f>
        <v>0</v>
      </c>
      <c r="P13" s="12">
        <v>539260</v>
      </c>
      <c r="Q13" s="12">
        <f t="shared" si="1"/>
        <v>539260</v>
      </c>
      <c r="R13" s="11"/>
      <c r="S13" s="12">
        <f>+'[2]LIVREUR INTERNE ETC'!$R13</f>
        <v>0</v>
      </c>
      <c r="T13" s="12"/>
      <c r="U13" s="12">
        <f t="shared" si="2"/>
        <v>0</v>
      </c>
    </row>
    <row r="14" spans="1:21" ht="22.5" customHeight="1" x14ac:dyDescent="0.25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+'[2]LIVREUR INTERNE ETC'!$U14</f>
        <v>0</v>
      </c>
      <c r="P14" s="12">
        <v>811420</v>
      </c>
      <c r="Q14" s="12">
        <f t="shared" si="1"/>
        <v>811420</v>
      </c>
      <c r="R14" s="11"/>
      <c r="S14" s="12">
        <f>+'[2]LIVREUR INTERNE ETC'!$R14</f>
        <v>0</v>
      </c>
      <c r="T14" s="12"/>
      <c r="U14" s="12">
        <f t="shared" si="2"/>
        <v>0</v>
      </c>
    </row>
    <row r="15" spans="1:21" s="3" customFormat="1" ht="22.5" customHeight="1" x14ac:dyDescent="0.25">
      <c r="A15" s="18" t="s">
        <v>42</v>
      </c>
      <c r="B15" s="9">
        <f t="shared" ref="B15:R15" si="4">+SUM(B3:B14)</f>
        <v>550</v>
      </c>
      <c r="C15" s="9">
        <f>+SUM(C3:C14)</f>
        <v>6185</v>
      </c>
      <c r="D15" s="9">
        <f t="shared" si="4"/>
        <v>55</v>
      </c>
      <c r="E15" s="9">
        <f t="shared" si="4"/>
        <v>360</v>
      </c>
      <c r="F15" s="9">
        <f t="shared" si="4"/>
        <v>0</v>
      </c>
      <c r="G15" s="9">
        <f t="shared" si="4"/>
        <v>0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9">
        <f t="shared" si="4"/>
        <v>0</v>
      </c>
      <c r="L15" s="9">
        <f t="shared" si="4"/>
        <v>0</v>
      </c>
      <c r="M15" s="9"/>
      <c r="N15" s="9">
        <f t="shared" si="4"/>
        <v>579900</v>
      </c>
      <c r="O15" s="9">
        <f t="shared" si="4"/>
        <v>6814305</v>
      </c>
      <c r="P15" s="9">
        <f t="shared" si="4"/>
        <v>6719615</v>
      </c>
      <c r="Q15" s="9">
        <f t="shared" si="4"/>
        <v>14113820</v>
      </c>
      <c r="R15" s="9">
        <f t="shared" si="4"/>
        <v>1310600</v>
      </c>
      <c r="S15" s="9"/>
      <c r="T15" s="9"/>
      <c r="U15" s="9">
        <f>+SUM(U3:U14)</f>
        <v>6083605</v>
      </c>
    </row>
    <row r="16" spans="1:21" x14ac:dyDescent="0.25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x14ac:dyDescent="0.25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 x14ac:dyDescent="0.25">
      <c r="A18" s="32" t="s">
        <v>59</v>
      </c>
      <c r="B18" s="31" t="s">
        <v>33</v>
      </c>
      <c r="C18" s="31"/>
      <c r="D18" s="31"/>
      <c r="E18" s="31"/>
      <c r="F18" s="31" t="s">
        <v>32</v>
      </c>
      <c r="G18" s="31"/>
      <c r="H18" s="31"/>
      <c r="I18" s="31"/>
      <c r="J18" s="31"/>
      <c r="K18" s="31" t="s">
        <v>6</v>
      </c>
      <c r="L18" s="31" t="s">
        <v>64</v>
      </c>
      <c r="M18" s="34" t="s">
        <v>80</v>
      </c>
      <c r="N18" s="34" t="s">
        <v>8</v>
      </c>
      <c r="O18" s="34" t="s">
        <v>9</v>
      </c>
      <c r="P18" s="34" t="s">
        <v>10</v>
      </c>
      <c r="Q18" s="34" t="s">
        <v>11</v>
      </c>
      <c r="R18" s="34" t="s">
        <v>1</v>
      </c>
      <c r="S18" s="34" t="s">
        <v>46</v>
      </c>
      <c r="T18" s="34" t="s">
        <v>2</v>
      </c>
      <c r="U18" s="34" t="s">
        <v>30</v>
      </c>
    </row>
    <row r="19" spans="1:21" ht="33.75" x14ac:dyDescent="0.25">
      <c r="A19" s="32"/>
      <c r="B19" s="31" t="s">
        <v>60</v>
      </c>
      <c r="C19" s="31"/>
      <c r="D19" s="8" t="s">
        <v>62</v>
      </c>
      <c r="E19" s="25" t="s">
        <v>61</v>
      </c>
      <c r="F19" s="31" t="s">
        <v>60</v>
      </c>
      <c r="G19" s="31"/>
      <c r="H19" s="8" t="s">
        <v>62</v>
      </c>
      <c r="I19" s="8" t="s">
        <v>63</v>
      </c>
      <c r="J19" s="8" t="s">
        <v>5</v>
      </c>
      <c r="K19" s="31"/>
      <c r="L19" s="31"/>
      <c r="M19" s="36"/>
      <c r="N19" s="35"/>
      <c r="O19" s="35"/>
      <c r="P19" s="35"/>
      <c r="Q19" s="35"/>
      <c r="R19" s="35"/>
      <c r="S19" s="35"/>
      <c r="T19" s="35"/>
      <c r="U19" s="35"/>
    </row>
    <row r="20" spans="1:21" s="3" customFormat="1" x14ac:dyDescent="0.25">
      <c r="A20" s="32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6"/>
      <c r="O20" s="36"/>
      <c r="P20" s="36"/>
      <c r="Q20" s="36"/>
      <c r="R20" s="36"/>
      <c r="S20" s="36"/>
      <c r="T20" s="36"/>
      <c r="U20" s="36"/>
    </row>
    <row r="21" spans="1:21" ht="19.5" customHeight="1" x14ac:dyDescent="0.25">
      <c r="A21" s="32"/>
      <c r="B21" s="11">
        <v>60</v>
      </c>
      <c r="C21" s="11"/>
      <c r="D21" s="11">
        <v>125</v>
      </c>
      <c r="E21" s="11"/>
      <c r="F21" s="11"/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9800</v>
      </c>
      <c r="O21" s="12">
        <f>+'[1]LIVREUR INTERNE ETC'!$U21</f>
        <v>195065</v>
      </c>
      <c r="P21" s="12">
        <v>10400</v>
      </c>
      <c r="Q21" s="12">
        <f>+SUM(N21:P21)</f>
        <v>215265</v>
      </c>
      <c r="R21" s="11">
        <v>33100</v>
      </c>
      <c r="S21" s="12">
        <f>+'[1]LIVREUR INTERNE ETC'!$R21</f>
        <v>0</v>
      </c>
      <c r="T21" s="12"/>
      <c r="U21" s="12">
        <f>+N21+O21-R21</f>
        <v>171765</v>
      </c>
    </row>
    <row r="22" spans="1:21" x14ac:dyDescent="0.25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 x14ac:dyDescent="0.25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 x14ac:dyDescent="0.25">
      <c r="A24" s="32" t="s">
        <v>65</v>
      </c>
      <c r="B24" s="37" t="s">
        <v>66</v>
      </c>
      <c r="C24" s="38"/>
      <c r="D24" s="38"/>
      <c r="E24" s="38"/>
      <c r="F24" s="38"/>
      <c r="G24" s="38"/>
      <c r="H24" s="38"/>
      <c r="I24" s="38"/>
      <c r="J24" s="39"/>
      <c r="K24" s="31" t="s">
        <v>62</v>
      </c>
      <c r="L24" s="31" t="s">
        <v>74</v>
      </c>
      <c r="M24" s="26"/>
      <c r="N24" s="34" t="s">
        <v>8</v>
      </c>
      <c r="O24" s="34" t="s">
        <v>9</v>
      </c>
      <c r="P24" s="34" t="s">
        <v>10</v>
      </c>
      <c r="Q24" s="34" t="s">
        <v>11</v>
      </c>
      <c r="R24" s="34" t="s">
        <v>1</v>
      </c>
      <c r="S24" s="34" t="s">
        <v>46</v>
      </c>
      <c r="T24" s="34" t="s">
        <v>2</v>
      </c>
      <c r="U24" s="34" t="s">
        <v>30</v>
      </c>
    </row>
    <row r="25" spans="1:21" ht="15" customHeight="1" x14ac:dyDescent="0.25">
      <c r="A25" s="32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30" t="s">
        <v>5</v>
      </c>
      <c r="K25" s="31"/>
      <c r="L25" s="31"/>
      <c r="M25" s="27"/>
      <c r="N25" s="35"/>
      <c r="O25" s="35"/>
      <c r="P25" s="35"/>
      <c r="Q25" s="35"/>
      <c r="R25" s="35"/>
      <c r="S25" s="35"/>
      <c r="T25" s="35"/>
      <c r="U25" s="35"/>
    </row>
    <row r="26" spans="1:21" s="3" customFormat="1" x14ac:dyDescent="0.25">
      <c r="A26" s="32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6"/>
      <c r="O26" s="36"/>
      <c r="P26" s="36"/>
      <c r="Q26" s="36"/>
      <c r="R26" s="36"/>
      <c r="S26" s="36"/>
      <c r="T26" s="36"/>
      <c r="U26" s="36"/>
    </row>
    <row r="27" spans="1:21" ht="21" customHeight="1" x14ac:dyDescent="0.25">
      <c r="A27" s="32"/>
      <c r="B27" s="11"/>
      <c r="C27" s="11"/>
      <c r="D27" s="11"/>
      <c r="E27" s="11"/>
      <c r="F27" s="11"/>
      <c r="G27" s="11">
        <v>85</v>
      </c>
      <c r="H27" s="11"/>
      <c r="I27" s="11"/>
      <c r="J27" s="11"/>
      <c r="K27" s="11">
        <v>100</v>
      </c>
      <c r="L27" s="11"/>
      <c r="M27" s="11"/>
      <c r="N27" s="12">
        <f>+B27*80+C27*160+D27*350+E27*80+F27*80+G27*40+H27*40+I27*40+K27*40+L27*80</f>
        <v>7400</v>
      </c>
      <c r="O27" s="12">
        <f>+'[1]LIVREUR INTERNE ETC'!$U27</f>
        <v>30000</v>
      </c>
      <c r="P27" s="12">
        <v>6000</v>
      </c>
      <c r="Q27" s="12">
        <f>+SUM(N27:P27)</f>
        <v>43400</v>
      </c>
      <c r="R27" s="11">
        <v>0</v>
      </c>
      <c r="S27" s="12">
        <f>+'[3]LIVREUR INTERNE ETC'!$R27</f>
        <v>0</v>
      </c>
      <c r="T27" s="12"/>
      <c r="U27" s="12">
        <f>+N27+O27-R27</f>
        <v>37400</v>
      </c>
    </row>
  </sheetData>
  <mergeCells count="39"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A24:A27"/>
    <mergeCell ref="K24:K25"/>
    <mergeCell ref="L24:L25"/>
    <mergeCell ref="N24:N26"/>
    <mergeCell ref="B24:J24"/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2026-08-18T15:30:23Z</cp:lastPrinted>
  <dcterms:created xsi:type="dcterms:W3CDTF">2026-07-15T15:57:08Z</dcterms:created>
  <dcterms:modified xsi:type="dcterms:W3CDTF">2026-08-18T15:31:00Z</dcterms:modified>
</cp:coreProperties>
</file>