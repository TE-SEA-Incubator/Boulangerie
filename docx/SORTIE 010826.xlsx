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EXPLOITATION boulangerie et patisserie 2025\SUIVIE DISTRIBUTION MENSUEL\"/>
    </mc:Choice>
  </mc:AlternateContent>
  <bookViews>
    <workbookView xWindow="0" yWindow="0" windowWidth="28800" windowHeight="12315"/>
  </bookViews>
  <sheets>
    <sheet name="AGENCE CARREF" sheetId="1" r:id="rId1"/>
    <sheet name="LIVREUR EXTERNE" sheetId="2" r:id="rId2"/>
    <sheet name="LIVREUR INTERNE ETC" sheetId="4" r:id="rId3"/>
  </sheets>
  <externalReferences>
    <externalReference r:id="rId4"/>
    <externalReference r:id="rId5"/>
  </externalReferences>
  <definedNames>
    <definedName name="_xlnm._FilterDatabase" localSheetId="0" hidden="1">'AGENCE CARREF'!$A$3:$Q$21</definedName>
    <definedName name="_xlnm._FilterDatabase" localSheetId="1" hidden="1">'LIVREUR EXTERNE'!$A$3:$Q$18</definedName>
    <definedName name="_xlnm._FilterDatabase" localSheetId="2" hidden="1">'LIVREUR INTERNE ETC'!$A$2:$U$14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9" i="2" l="1"/>
  <c r="E31" i="2" l="1"/>
  <c r="D31" i="2"/>
  <c r="C31" i="2"/>
  <c r="B31" i="2"/>
  <c r="K11" i="1" l="1"/>
  <c r="K12" i="1"/>
  <c r="K13" i="1"/>
  <c r="K14" i="1"/>
  <c r="K15" i="1"/>
  <c r="K16" i="1"/>
  <c r="K17" i="1"/>
  <c r="K10" i="1"/>
  <c r="O26" i="4"/>
  <c r="O20" i="4"/>
  <c r="O4" i="4"/>
  <c r="O5" i="4"/>
  <c r="O6" i="4"/>
  <c r="O7" i="4"/>
  <c r="O8" i="4"/>
  <c r="O9" i="4"/>
  <c r="O3" i="4"/>
  <c r="S26" i="4"/>
  <c r="S20" i="4"/>
  <c r="S4" i="4"/>
  <c r="S5" i="4"/>
  <c r="S6" i="4"/>
  <c r="S7" i="4"/>
  <c r="S8" i="4"/>
  <c r="S9" i="4"/>
  <c r="S3" i="4"/>
  <c r="O11" i="1"/>
  <c r="O12" i="1"/>
  <c r="O13" i="1"/>
  <c r="O14" i="1"/>
  <c r="O15" i="1"/>
  <c r="O16" i="1"/>
  <c r="O17" i="1"/>
  <c r="O10" i="1"/>
  <c r="K5" i="2"/>
  <c r="K6" i="2"/>
  <c r="K7" i="2"/>
  <c r="K8" i="2"/>
  <c r="K9" i="2"/>
  <c r="K10" i="2"/>
  <c r="K11" i="2"/>
  <c r="K12" i="2"/>
  <c r="K13" i="2"/>
  <c r="K4" i="2"/>
  <c r="O5" i="2"/>
  <c r="O6" i="2"/>
  <c r="O7" i="2"/>
  <c r="O8" i="2"/>
  <c r="O9" i="2"/>
  <c r="O10" i="2"/>
  <c r="O11" i="2"/>
  <c r="O12" i="2"/>
  <c r="O13" i="2"/>
  <c r="O4" i="2"/>
  <c r="N20" i="4" l="1"/>
  <c r="J16" i="1" l="1"/>
  <c r="K18" i="1"/>
  <c r="K19" i="1"/>
  <c r="K20" i="1"/>
  <c r="O18" i="1"/>
  <c r="O19" i="1"/>
  <c r="O20" i="1"/>
  <c r="K14" i="2"/>
  <c r="K15" i="2"/>
  <c r="K16" i="2"/>
  <c r="K17" i="2"/>
  <c r="O14" i="2"/>
  <c r="O15" i="2"/>
  <c r="O16" i="2"/>
  <c r="O17" i="2"/>
  <c r="O10" i="4"/>
  <c r="O11" i="4"/>
  <c r="O12" i="4"/>
  <c r="O13" i="4"/>
  <c r="S10" i="4"/>
  <c r="S11" i="4"/>
  <c r="S12" i="4"/>
  <c r="S13" i="4"/>
  <c r="J13" i="2"/>
  <c r="J5" i="2"/>
  <c r="J6" i="2"/>
  <c r="J7" i="2"/>
  <c r="J8" i="2"/>
  <c r="J9" i="2"/>
  <c r="J10" i="2"/>
  <c r="J11" i="2"/>
  <c r="J12" i="2"/>
  <c r="J4" i="2"/>
  <c r="J13" i="1"/>
  <c r="L18" i="2"/>
  <c r="N3" i="4"/>
  <c r="N4" i="4"/>
  <c r="N5" i="4"/>
  <c r="N6" i="4"/>
  <c r="N7" i="4"/>
  <c r="N8" i="4"/>
  <c r="J17" i="1"/>
  <c r="N9" i="4"/>
  <c r="N26" i="4"/>
  <c r="B18" i="2"/>
  <c r="N10" i="4"/>
  <c r="M4" i="2" l="1"/>
  <c r="M13" i="1"/>
  <c r="Q13" i="1"/>
  <c r="U8" i="4"/>
  <c r="U7" i="4"/>
  <c r="Q4" i="2"/>
  <c r="U4" i="4"/>
  <c r="U5" i="4"/>
  <c r="U10" i="4"/>
  <c r="U9" i="4"/>
  <c r="U6" i="4"/>
  <c r="Q16" i="1"/>
  <c r="N1" i="2"/>
  <c r="M13" i="2"/>
  <c r="M12" i="2"/>
  <c r="J19" i="1"/>
  <c r="J12" i="1"/>
  <c r="M12" i="1" s="1"/>
  <c r="J20" i="1"/>
  <c r="J11" i="1"/>
  <c r="J10" i="1"/>
  <c r="M10" i="1" s="1"/>
  <c r="J9" i="1"/>
  <c r="J14" i="1"/>
  <c r="J15" i="1"/>
  <c r="J4" i="1"/>
  <c r="J5" i="1"/>
  <c r="J6" i="1"/>
  <c r="J7" i="1"/>
  <c r="J8" i="1"/>
  <c r="Q8" i="1" s="1"/>
  <c r="J18" i="1"/>
  <c r="C21" i="1"/>
  <c r="D21" i="1"/>
  <c r="E21" i="1"/>
  <c r="F21" i="1"/>
  <c r="G21" i="1"/>
  <c r="H21" i="1"/>
  <c r="I21" i="1"/>
  <c r="L21" i="1"/>
  <c r="B21" i="1"/>
  <c r="N13" i="4"/>
  <c r="U13" i="4" s="1"/>
  <c r="N12" i="4"/>
  <c r="U12" i="4" s="1"/>
  <c r="N11" i="4"/>
  <c r="U11" i="4" s="1"/>
  <c r="C14" i="4"/>
  <c r="D14" i="4"/>
  <c r="E14" i="4"/>
  <c r="F14" i="4"/>
  <c r="G14" i="4"/>
  <c r="H14" i="4"/>
  <c r="I14" i="4"/>
  <c r="J14" i="4"/>
  <c r="K14" i="4"/>
  <c r="L14" i="4"/>
  <c r="P14" i="4"/>
  <c r="R14" i="4"/>
  <c r="B14" i="4"/>
  <c r="M6" i="2"/>
  <c r="M7" i="2"/>
  <c r="J16" i="2"/>
  <c r="M16" i="2" s="1"/>
  <c r="N18" i="2"/>
  <c r="C18" i="2"/>
  <c r="D18" i="2"/>
  <c r="E18" i="2"/>
  <c r="F18" i="2"/>
  <c r="G18" i="2"/>
  <c r="H18" i="2"/>
  <c r="I18" i="2"/>
  <c r="M9" i="2"/>
  <c r="J15" i="2"/>
  <c r="M15" i="2" s="1"/>
  <c r="M11" i="2"/>
  <c r="M8" i="2"/>
  <c r="J17" i="2"/>
  <c r="M17" i="2" s="1"/>
  <c r="M5" i="2"/>
  <c r="J14" i="2"/>
  <c r="M14" i="2" s="1"/>
  <c r="M10" i="2"/>
  <c r="Q13" i="2" l="1"/>
  <c r="J21" i="1"/>
  <c r="N14" i="4"/>
  <c r="M6" i="1"/>
  <c r="Q6" i="1"/>
  <c r="M8" i="1"/>
  <c r="J18" i="2"/>
  <c r="N21" i="1" l="1"/>
  <c r="M5" i="1"/>
  <c r="Q5" i="1"/>
  <c r="Q4" i="1"/>
  <c r="M4" i="1"/>
  <c r="Q7" i="1"/>
  <c r="M7" i="1"/>
  <c r="Q12" i="2"/>
  <c r="O21" i="1" l="1"/>
  <c r="Q6" i="2"/>
  <c r="Q10" i="1"/>
  <c r="M19" i="1"/>
  <c r="Q19" i="1"/>
  <c r="Q7" i="2"/>
  <c r="Q12" i="1"/>
  <c r="Q15" i="2"/>
  <c r="M9" i="1"/>
  <c r="Q9" i="1"/>
  <c r="M11" i="1"/>
  <c r="Q11" i="1"/>
  <c r="M17" i="1"/>
  <c r="Q17" i="1"/>
  <c r="Q10" i="2"/>
  <c r="Q20" i="4"/>
  <c r="U20" i="4"/>
  <c r="Q26" i="4"/>
  <c r="U26" i="4"/>
  <c r="Q20" i="1"/>
  <c r="M20" i="1"/>
  <c r="Q8" i="2"/>
  <c r="Q11" i="2"/>
  <c r="Q17" i="2"/>
  <c r="Q9" i="2"/>
  <c r="Q18" i="1"/>
  <c r="M18" i="1"/>
  <c r="Q14" i="2"/>
  <c r="Q5" i="2"/>
  <c r="Q16" i="2"/>
  <c r="K18" i="2"/>
  <c r="Q7" i="4"/>
  <c r="Q11" i="4"/>
  <c r="Q4" i="4"/>
  <c r="U3" i="4"/>
  <c r="Q3" i="4"/>
  <c r="O14" i="4"/>
  <c r="Q10" i="4"/>
  <c r="Q13" i="4"/>
  <c r="Q9" i="4"/>
  <c r="Q8" i="4"/>
  <c r="Q5" i="4"/>
  <c r="Q12" i="4"/>
  <c r="Q6" i="4"/>
  <c r="K21" i="1"/>
  <c r="M15" i="1" l="1"/>
  <c r="Q15" i="1"/>
  <c r="M18" i="2"/>
  <c r="Q14" i="1"/>
  <c r="M14" i="1"/>
  <c r="Q18" i="2"/>
  <c r="Q14" i="4"/>
  <c r="U14" i="4"/>
  <c r="M21" i="1" l="1"/>
  <c r="Q21" i="1"/>
</calcChain>
</file>

<file path=xl/sharedStrings.xml><?xml version="1.0" encoding="utf-8"?>
<sst xmlns="http://schemas.openxmlformats.org/spreadsheetml/2006/main" count="131" uniqueCount="82">
  <si>
    <t>NOM LIVREUR</t>
  </si>
  <si>
    <t>VERSMENT</t>
  </si>
  <si>
    <t>VISA</t>
  </si>
  <si>
    <t>160 GL</t>
  </si>
  <si>
    <t>160 GC</t>
  </si>
  <si>
    <t>EXTRA</t>
  </si>
  <si>
    <t>PJ</t>
  </si>
  <si>
    <t>TYPE DE PAIN</t>
  </si>
  <si>
    <t>FACTURE</t>
  </si>
  <si>
    <t>ECART PRECEDENT</t>
  </si>
  <si>
    <t>MANQUANT</t>
  </si>
  <si>
    <t>TOTAL SOLDE</t>
  </si>
  <si>
    <t>DOUGLAS TCHINDA</t>
  </si>
  <si>
    <t>Z GILBRT</t>
  </si>
  <si>
    <t>TCHOUPO NARCISSE</t>
  </si>
  <si>
    <t>OUMAROU</t>
  </si>
  <si>
    <t>Z MOISE TCHINDA</t>
  </si>
  <si>
    <t>RODRIGUE KAZE</t>
  </si>
  <si>
    <t>Z RAOUL TEKOU</t>
  </si>
  <si>
    <t>MOUSTAPHA</t>
  </si>
  <si>
    <t>Z BLAISE KAFFO</t>
  </si>
  <si>
    <t>SALAS TAPONDJOU</t>
  </si>
  <si>
    <t>TOTAL 1</t>
  </si>
  <si>
    <t>FACTURATION</t>
  </si>
  <si>
    <t>VENTE FOUR JOUR</t>
  </si>
  <si>
    <t>NDONGO</t>
  </si>
  <si>
    <t>NARCISSE TEDONFO</t>
  </si>
  <si>
    <t>FICHE DE FACTURATION</t>
  </si>
  <si>
    <t>DATE:</t>
  </si>
  <si>
    <t>ROMEO DJEUGEU</t>
  </si>
  <si>
    <t>ECART VERSEMENT</t>
  </si>
  <si>
    <t>S.VIDE</t>
  </si>
  <si>
    <t>TYPE DE PAIN JOUR</t>
  </si>
  <si>
    <t>TYPE DE PAIN NUIT</t>
  </si>
  <si>
    <t>AWE NDEBSIA</t>
  </si>
  <si>
    <t>LEPAMOU CABREL</t>
  </si>
  <si>
    <t>Z PAUL NAMEKONG</t>
  </si>
  <si>
    <t>COLLINS NGUEBOU</t>
  </si>
  <si>
    <t>Z LIVANNA</t>
  </si>
  <si>
    <t>JUNIOR MELI</t>
  </si>
  <si>
    <t>CHRISTIAN SILEU</t>
  </si>
  <si>
    <t>THEOPHILE</t>
  </si>
  <si>
    <t>TOTAL 2</t>
  </si>
  <si>
    <t>Z JEANTOU DENIS</t>
  </si>
  <si>
    <t>Z AMBROISE</t>
  </si>
  <si>
    <t>PÈRE LUCAS TALIEDJE</t>
  </si>
  <si>
    <t>VERS. VEILLE</t>
  </si>
  <si>
    <t xml:space="preserve">Z ELEN. MARGUERITE </t>
  </si>
  <si>
    <t>Z JEAN BAPTISTE</t>
  </si>
  <si>
    <t>SALHA</t>
  </si>
  <si>
    <t>Z ROSALIE</t>
  </si>
  <si>
    <t>NANOU</t>
  </si>
  <si>
    <t>NOM
AGEN CARREF DIV</t>
  </si>
  <si>
    <t>COMMANDE 1</t>
  </si>
  <si>
    <t>COMMANDE 2</t>
  </si>
  <si>
    <t>COMMANDE 3</t>
  </si>
  <si>
    <t>COMMANDE 4</t>
  </si>
  <si>
    <t>COMMANDE 5</t>
  </si>
  <si>
    <t>TOTAL3</t>
  </si>
  <si>
    <t>DANY OLOMO</t>
  </si>
  <si>
    <t>PAIN</t>
  </si>
  <si>
    <t>B</t>
  </si>
  <si>
    <t>CMD</t>
  </si>
  <si>
    <t>CQ</t>
  </si>
  <si>
    <t>PAIN
500</t>
  </si>
  <si>
    <t>VIRGINIA</t>
  </si>
  <si>
    <t>TYPE DE PRODUIT PATISSERIE</t>
  </si>
  <si>
    <t>BAL</t>
  </si>
  <si>
    <t>BABA</t>
  </si>
  <si>
    <t>MSM</t>
  </si>
  <si>
    <t>BN</t>
  </si>
  <si>
    <t>BT</t>
  </si>
  <si>
    <t>ARM</t>
  </si>
  <si>
    <t>CRAV</t>
  </si>
  <si>
    <t>BRIO</t>
  </si>
  <si>
    <t>FIDELIS TAGNE</t>
  </si>
  <si>
    <t>HERVE</t>
  </si>
  <si>
    <t>VENTE FOUR NUIT CA</t>
  </si>
  <si>
    <t>VENTE FOUR NUIT EX</t>
  </si>
  <si>
    <t>VICTORINE GAKOU</t>
  </si>
  <si>
    <t>MC 1500</t>
  </si>
  <si>
    <t>ATANGANA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</si>
</sst>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horizontal="center" vertical="center" wrapText="1"/>
    </xf>
    <xf numFmtId="165" fontId="0" fillId="0" borderId="0" xfId="1" applyNumberFormat="1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/>
    <xf numFmtId="165" fontId="4" fillId="0" borderId="0" xfId="1" applyNumberFormat="1" applyFont="1"/>
    <xf numFmtId="165" fontId="3" fillId="0" borderId="0" xfId="1" applyNumberFormat="1" applyFont="1"/>
    <xf numFmtId="165" fontId="5" fillId="0" borderId="1" xfId="1" applyNumberFormat="1" applyFont="1" applyBorder="1" applyAlignment="1">
      <alignment horizontal="center" vertical="center" wrapText="1"/>
    </xf>
    <xf numFmtId="165" fontId="5" fillId="0" borderId="1" xfId="1" applyNumberFormat="1" applyFont="1" applyBorder="1"/>
    <xf numFmtId="0" fontId="7" fillId="0" borderId="1" xfId="0" applyFont="1" applyBorder="1"/>
    <xf numFmtId="165" fontId="7" fillId="0" borderId="1" xfId="1" applyNumberFormat="1" applyFont="1" applyBorder="1" applyProtection="1">
      <protection locked="0"/>
    </xf>
    <xf numFmtId="165" fontId="7" fillId="0" borderId="1" xfId="1" applyNumberFormat="1" applyFont="1" applyBorder="1"/>
    <xf numFmtId="165" fontId="7" fillId="0" borderId="1" xfId="0" applyNumberFormat="1" applyFont="1" applyBorder="1"/>
    <xf numFmtId="165" fontId="7" fillId="3" borderId="1" xfId="1" applyNumberFormat="1" applyFont="1" applyFill="1" applyBorder="1" applyProtection="1">
      <protection locked="0"/>
    </xf>
    <xf numFmtId="165" fontId="7" fillId="3" borderId="1" xfId="1" applyNumberFormat="1" applyFont="1" applyFill="1" applyBorder="1"/>
    <xf numFmtId="0" fontId="7" fillId="3" borderId="1" xfId="0" applyFont="1" applyFill="1" applyBorder="1"/>
    <xf numFmtId="0" fontId="7" fillId="2" borderId="1" xfId="0" applyFont="1" applyFill="1" applyBorder="1"/>
    <xf numFmtId="0" fontId="5" fillId="0" borderId="1" xfId="0" applyFont="1" applyBorder="1"/>
    <xf numFmtId="165" fontId="5" fillId="0" borderId="1" xfId="0" applyNumberFormat="1" applyFont="1" applyBorder="1"/>
    <xf numFmtId="165" fontId="8" fillId="0" borderId="1" xfId="1" applyNumberFormat="1" applyFont="1" applyBorder="1" applyAlignment="1">
      <alignment horizontal="right"/>
    </xf>
    <xf numFmtId="14" fontId="8" fillId="0" borderId="1" xfId="1" applyNumberFormat="1" applyFont="1" applyBorder="1" applyAlignment="1">
      <alignment horizontal="left"/>
    </xf>
    <xf numFmtId="165" fontId="7" fillId="0" borderId="0" xfId="1" applyNumberFormat="1" applyFont="1"/>
    <xf numFmtId="165" fontId="7" fillId="0" borderId="1" xfId="1" applyNumberFormat="1" applyFont="1" applyBorder="1" applyAlignment="1" applyProtection="1">
      <alignment wrapText="1"/>
      <protection locked="0"/>
    </xf>
    <xf numFmtId="0" fontId="7" fillId="0" borderId="0" xfId="0" applyFont="1"/>
    <xf numFmtId="165" fontId="5" fillId="0" borderId="1" xfId="1" applyNumberFormat="1" applyFont="1" applyBorder="1" applyAlignment="1">
      <alignment vertical="center" wrapText="1"/>
    </xf>
    <xf numFmtId="165" fontId="5" fillId="0" borderId="5" xfId="1" applyNumberFormat="1" applyFont="1" applyBorder="1" applyAlignment="1">
      <alignment horizontal="center" vertical="center" wrapText="1"/>
    </xf>
    <xf numFmtId="165" fontId="5" fillId="0" borderId="7" xfId="1" applyNumberFormat="1" applyFont="1" applyBorder="1" applyAlignment="1">
      <alignment horizontal="center" vertical="center" wrapText="1"/>
    </xf>
    <xf numFmtId="165" fontId="5" fillId="0" borderId="6" xfId="1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165" fontId="5" fillId="0" borderId="5" xfId="1" applyNumberFormat="1" applyFont="1" applyBorder="1" applyAlignment="1">
      <alignment horizontal="center" vertical="center" wrapText="1"/>
    </xf>
    <xf numFmtId="165" fontId="5" fillId="0" borderId="7" xfId="1" applyNumberFormat="1" applyFont="1" applyBorder="1" applyAlignment="1">
      <alignment horizontal="center" vertical="center" wrapText="1"/>
    </xf>
    <xf numFmtId="165" fontId="5" fillId="0" borderId="6" xfId="1" applyNumberFormat="1" applyFont="1" applyBorder="1" applyAlignment="1">
      <alignment horizontal="center" vertical="center" wrapText="1"/>
    </xf>
    <xf numFmtId="165" fontId="5" fillId="0" borderId="2" xfId="1" applyNumberFormat="1" applyFont="1" applyBorder="1" applyAlignment="1">
      <alignment horizontal="center" vertical="center" wrapText="1"/>
    </xf>
    <xf numFmtId="165" fontId="5" fillId="0" borderId="3" xfId="1" applyNumberFormat="1" applyFont="1" applyBorder="1" applyAlignment="1">
      <alignment horizontal="center" vertical="center" wrapText="1"/>
    </xf>
    <xf numFmtId="165" fontId="5" fillId="0" borderId="4" xfId="1" applyNumberFormat="1" applyFont="1" applyBorder="1" applyAlignment="1">
      <alignment horizontal="center"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3107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3007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0">
          <cell r="N10"/>
          <cell r="Q10">
            <v>10900</v>
          </cell>
        </row>
        <row r="11">
          <cell r="N11"/>
          <cell r="Q11">
            <v>85360</v>
          </cell>
        </row>
        <row r="12">
          <cell r="N12">
            <v>20000</v>
          </cell>
          <cell r="Q12">
            <v>10170</v>
          </cell>
        </row>
        <row r="13">
          <cell r="N13">
            <v>91900</v>
          </cell>
          <cell r="Q13">
            <v>-49460</v>
          </cell>
        </row>
        <row r="14">
          <cell r="N14">
            <v>131400</v>
          </cell>
          <cell r="Q14">
            <v>-1259315</v>
          </cell>
        </row>
        <row r="15">
          <cell r="N15">
            <v>24640</v>
          </cell>
          <cell r="Q15">
            <v>-58700</v>
          </cell>
        </row>
        <row r="16">
          <cell r="N16"/>
          <cell r="Q16">
            <v>565560</v>
          </cell>
        </row>
        <row r="17">
          <cell r="N17">
            <v>17600</v>
          </cell>
          <cell r="Q17">
            <v>-10400</v>
          </cell>
        </row>
      </sheetData>
      <sheetData sheetId="1">
        <row r="4">
          <cell r="N4">
            <v>167025</v>
          </cell>
          <cell r="Q4">
            <v>432280</v>
          </cell>
        </row>
        <row r="5">
          <cell r="N5">
            <v>61000</v>
          </cell>
          <cell r="Q5">
            <v>371090</v>
          </cell>
        </row>
        <row r="6">
          <cell r="N6">
            <v>100000</v>
          </cell>
          <cell r="Q6">
            <v>467630</v>
          </cell>
        </row>
        <row r="7">
          <cell r="N7">
            <v>107000</v>
          </cell>
          <cell r="Q7">
            <v>504810</v>
          </cell>
        </row>
        <row r="8">
          <cell r="N8">
            <v>133500</v>
          </cell>
          <cell r="Q8">
            <v>547945</v>
          </cell>
        </row>
        <row r="9">
          <cell r="N9">
            <v>171500</v>
          </cell>
          <cell r="Q9">
            <v>674736</v>
          </cell>
        </row>
        <row r="10">
          <cell r="N10">
            <v>122500</v>
          </cell>
          <cell r="Q10">
            <v>224510</v>
          </cell>
        </row>
        <row r="11">
          <cell r="N11">
            <v>216500</v>
          </cell>
          <cell r="Q11">
            <v>231105</v>
          </cell>
        </row>
        <row r="12">
          <cell r="N12">
            <v>47350</v>
          </cell>
          <cell r="Q12">
            <v>-33620</v>
          </cell>
        </row>
        <row r="13">
          <cell r="N13">
            <v>250000</v>
          </cell>
          <cell r="Q13">
            <v>210005</v>
          </cell>
        </row>
      </sheetData>
      <sheetData sheetId="2">
        <row r="3">
          <cell r="R3">
            <v>262030</v>
          </cell>
          <cell r="U3">
            <v>3313820</v>
          </cell>
        </row>
        <row r="4">
          <cell r="R4">
            <v>0</v>
          </cell>
          <cell r="U4">
            <v>249435</v>
          </cell>
        </row>
        <row r="5">
          <cell r="R5">
            <v>0</v>
          </cell>
          <cell r="U5">
            <v>1543860</v>
          </cell>
        </row>
        <row r="6">
          <cell r="R6">
            <v>493000</v>
          </cell>
          <cell r="U6">
            <v>424365</v>
          </cell>
        </row>
        <row r="7">
          <cell r="R7">
            <v>459000</v>
          </cell>
          <cell r="U7">
            <v>220400</v>
          </cell>
        </row>
        <row r="8">
          <cell r="R8">
            <v>78000</v>
          </cell>
          <cell r="U8">
            <v>48515</v>
          </cell>
        </row>
        <row r="9">
          <cell r="R9">
            <v>53500</v>
          </cell>
          <cell r="U9">
            <v>165240</v>
          </cell>
        </row>
        <row r="20">
          <cell r="R20">
            <v>55200</v>
          </cell>
          <cell r="U20">
            <v>181405</v>
          </cell>
        </row>
        <row r="26">
          <cell r="R26">
            <v>36000</v>
          </cell>
          <cell r="U26">
            <v>6000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8">
          <cell r="N18"/>
          <cell r="Q18">
            <v>0</v>
          </cell>
        </row>
        <row r="19">
          <cell r="N19"/>
          <cell r="Q19">
            <v>0</v>
          </cell>
        </row>
        <row r="20">
          <cell r="N20"/>
          <cell r="Q20">
            <v>0</v>
          </cell>
        </row>
      </sheetData>
      <sheetData sheetId="1">
        <row r="14">
          <cell r="N14"/>
          <cell r="Q14">
            <v>0</v>
          </cell>
        </row>
        <row r="15">
          <cell r="N15"/>
          <cell r="Q15">
            <v>0</v>
          </cell>
        </row>
        <row r="16">
          <cell r="N16"/>
          <cell r="Q16">
            <v>0</v>
          </cell>
        </row>
        <row r="17">
          <cell r="N17"/>
          <cell r="Q17">
            <v>0</v>
          </cell>
        </row>
      </sheetData>
      <sheetData sheetId="2">
        <row r="10">
          <cell r="R10"/>
          <cell r="U10">
            <v>0</v>
          </cell>
        </row>
        <row r="11">
          <cell r="R11"/>
          <cell r="U11">
            <v>0</v>
          </cell>
        </row>
        <row r="12">
          <cell r="R12"/>
          <cell r="U12">
            <v>0</v>
          </cell>
        </row>
        <row r="13">
          <cell r="R13"/>
          <cell r="U1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1"/>
  <sheetViews>
    <sheetView tabSelected="1" workbookViewId="0">
      <selection activeCell="N18" sqref="N18"/>
    </sheetView>
  </sheetViews>
  <sheetFormatPr baseColWidth="10" defaultRowHeight="14.25"/>
  <cols>
    <col min="1" max="1" width="14.5" customWidth="1"/>
    <col min="2" max="2" width="5.875" style="2" customWidth="1"/>
    <col min="3" max="3" width="5.875" style="7" customWidth="1"/>
    <col min="4" max="8" width="5.875" style="2" customWidth="1"/>
    <col min="9" max="9" width="7.375" style="2" bestFit="1" customWidth="1"/>
    <col min="10" max="10" width="7.375" style="2" customWidth="1"/>
    <col min="11" max="11" width="8.875" style="2" customWidth="1"/>
    <col min="12" max="12" width="9.25" style="2" customWidth="1"/>
    <col min="13" max="13" width="10.5" style="2" customWidth="1"/>
    <col min="14" max="15" width="8.375" style="2" customWidth="1"/>
    <col min="16" max="16" width="6.5" style="2" customWidth="1"/>
    <col min="17" max="17" width="9.5" style="2" customWidth="1"/>
  </cols>
  <sheetData>
    <row r="2" spans="1:17" ht="15" customHeight="1">
      <c r="A2" s="30" t="s">
        <v>52</v>
      </c>
      <c r="B2" s="29" t="s">
        <v>7</v>
      </c>
      <c r="C2" s="29"/>
      <c r="D2" s="29"/>
      <c r="E2" s="29"/>
      <c r="F2" s="29"/>
      <c r="G2" s="29"/>
      <c r="H2" s="8" t="s">
        <v>6</v>
      </c>
      <c r="I2" s="8" t="s">
        <v>31</v>
      </c>
      <c r="J2" s="29" t="s">
        <v>8</v>
      </c>
      <c r="K2" s="29" t="s">
        <v>9</v>
      </c>
      <c r="L2" s="29" t="s">
        <v>10</v>
      </c>
      <c r="M2" s="29" t="s">
        <v>11</v>
      </c>
      <c r="N2" s="29" t="s">
        <v>1</v>
      </c>
      <c r="O2" s="29" t="s">
        <v>46</v>
      </c>
      <c r="P2" s="29" t="s">
        <v>2</v>
      </c>
      <c r="Q2" s="29" t="s">
        <v>30</v>
      </c>
    </row>
    <row r="3" spans="1:17" ht="15" customHeight="1">
      <c r="A3" s="30"/>
      <c r="B3" s="8">
        <v>40</v>
      </c>
      <c r="C3" s="8">
        <v>80</v>
      </c>
      <c r="D3" s="8">
        <v>100</v>
      </c>
      <c r="E3" s="8">
        <v>160</v>
      </c>
      <c r="F3" s="8">
        <v>125</v>
      </c>
      <c r="G3" s="8" t="s">
        <v>5</v>
      </c>
      <c r="H3" s="8">
        <v>80</v>
      </c>
      <c r="I3" s="8">
        <v>100</v>
      </c>
      <c r="J3" s="29"/>
      <c r="K3" s="29"/>
      <c r="L3" s="29"/>
      <c r="M3" s="29"/>
      <c r="N3" s="29"/>
      <c r="O3" s="29"/>
      <c r="P3" s="29"/>
      <c r="Q3" s="29"/>
    </row>
    <row r="4" spans="1:17" ht="21" customHeight="1">
      <c r="A4" s="10" t="s">
        <v>53</v>
      </c>
      <c r="B4" s="11"/>
      <c r="C4" s="11"/>
      <c r="D4" s="11"/>
      <c r="E4" s="11"/>
      <c r="F4" s="11"/>
      <c r="G4" s="11"/>
      <c r="H4" s="11"/>
      <c r="I4" s="11"/>
      <c r="J4" s="12">
        <f t="shared" ref="J4:J16" si="0">+B4*40+C4*80+D4*100+E4*160+F4*125+H4*80+I4*100</f>
        <v>0</v>
      </c>
      <c r="K4" s="12"/>
      <c r="L4" s="12">
        <v>0</v>
      </c>
      <c r="M4" s="12">
        <f t="shared" ref="M4:M15" si="1">+J4+K4+L4</f>
        <v>0</v>
      </c>
      <c r="N4" s="11"/>
      <c r="O4" s="12"/>
      <c r="P4" s="12"/>
      <c r="Q4" s="12">
        <f t="shared" ref="Q4:Q16" si="2">+J4+K4-N4</f>
        <v>0</v>
      </c>
    </row>
    <row r="5" spans="1:17" ht="21" customHeight="1">
      <c r="A5" s="10" t="s">
        <v>54</v>
      </c>
      <c r="B5" s="11"/>
      <c r="C5" s="11"/>
      <c r="D5" s="11"/>
      <c r="E5" s="11"/>
      <c r="F5" s="11"/>
      <c r="G5" s="11"/>
      <c r="H5" s="11"/>
      <c r="I5" s="11"/>
      <c r="J5" s="12">
        <f t="shared" si="0"/>
        <v>0</v>
      </c>
      <c r="K5" s="12"/>
      <c r="L5" s="12">
        <v>0</v>
      </c>
      <c r="M5" s="12">
        <f t="shared" si="1"/>
        <v>0</v>
      </c>
      <c r="N5" s="11"/>
      <c r="O5" s="12"/>
      <c r="P5" s="12"/>
      <c r="Q5" s="12">
        <f t="shared" si="2"/>
        <v>0</v>
      </c>
    </row>
    <row r="6" spans="1:17" ht="21" customHeight="1">
      <c r="A6" s="10" t="s">
        <v>55</v>
      </c>
      <c r="B6" s="11"/>
      <c r="C6" s="11"/>
      <c r="D6" s="11"/>
      <c r="E6" s="11"/>
      <c r="F6" s="11"/>
      <c r="G6" s="11"/>
      <c r="H6" s="11"/>
      <c r="I6" s="11"/>
      <c r="J6" s="12">
        <f t="shared" si="0"/>
        <v>0</v>
      </c>
      <c r="K6" s="12"/>
      <c r="L6" s="12">
        <v>0</v>
      </c>
      <c r="M6" s="12">
        <f t="shared" si="1"/>
        <v>0</v>
      </c>
      <c r="N6" s="11"/>
      <c r="O6" s="12"/>
      <c r="P6" s="12"/>
      <c r="Q6" s="12">
        <f t="shared" si="2"/>
        <v>0</v>
      </c>
    </row>
    <row r="7" spans="1:17" ht="21" customHeight="1">
      <c r="A7" s="10" t="s">
        <v>56</v>
      </c>
      <c r="B7" s="11"/>
      <c r="C7" s="11"/>
      <c r="D7" s="11"/>
      <c r="E7" s="11"/>
      <c r="F7" s="11"/>
      <c r="G7" s="11"/>
      <c r="H7" s="11"/>
      <c r="I7" s="11"/>
      <c r="J7" s="12">
        <f t="shared" si="0"/>
        <v>0</v>
      </c>
      <c r="K7" s="12"/>
      <c r="L7" s="12">
        <v>0</v>
      </c>
      <c r="M7" s="12">
        <f t="shared" si="1"/>
        <v>0</v>
      </c>
      <c r="N7" s="11"/>
      <c r="O7" s="12"/>
      <c r="P7" s="12"/>
      <c r="Q7" s="12">
        <f t="shared" si="2"/>
        <v>0</v>
      </c>
    </row>
    <row r="8" spans="1:17" ht="21" customHeight="1">
      <c r="A8" s="10" t="s">
        <v>57</v>
      </c>
      <c r="B8" s="11"/>
      <c r="C8" s="11"/>
      <c r="D8" s="11"/>
      <c r="E8" s="11"/>
      <c r="F8" s="11"/>
      <c r="G8" s="11"/>
      <c r="H8" s="11"/>
      <c r="I8" s="11"/>
      <c r="J8" s="12">
        <f t="shared" si="0"/>
        <v>0</v>
      </c>
      <c r="K8" s="12"/>
      <c r="L8" s="12">
        <v>0</v>
      </c>
      <c r="M8" s="12">
        <f t="shared" si="1"/>
        <v>0</v>
      </c>
      <c r="N8" s="11"/>
      <c r="O8" s="12"/>
      <c r="P8" s="12"/>
      <c r="Q8" s="12">
        <f t="shared" si="2"/>
        <v>0</v>
      </c>
    </row>
    <row r="9" spans="1:17" ht="21" customHeight="1">
      <c r="A9" s="10" t="s">
        <v>23</v>
      </c>
      <c r="B9" s="11"/>
      <c r="C9" s="11"/>
      <c r="D9" s="11"/>
      <c r="E9" s="11"/>
      <c r="F9" s="11"/>
      <c r="G9" s="11"/>
      <c r="H9" s="11"/>
      <c r="I9" s="11"/>
      <c r="J9" s="12">
        <f t="shared" si="0"/>
        <v>0</v>
      </c>
      <c r="K9" s="12"/>
      <c r="L9" s="12">
        <v>0</v>
      </c>
      <c r="M9" s="12">
        <f t="shared" si="1"/>
        <v>0</v>
      </c>
      <c r="N9" s="11"/>
      <c r="O9" s="12"/>
      <c r="P9" s="12"/>
      <c r="Q9" s="12">
        <f t="shared" si="2"/>
        <v>0</v>
      </c>
    </row>
    <row r="10" spans="1:17" ht="21" customHeight="1">
      <c r="A10" s="10" t="s">
        <v>51</v>
      </c>
      <c r="B10" s="11"/>
      <c r="C10" s="11">
        <v>100</v>
      </c>
      <c r="D10" s="11"/>
      <c r="E10" s="11"/>
      <c r="F10" s="11"/>
      <c r="G10" s="11"/>
      <c r="H10" s="11"/>
      <c r="I10" s="11"/>
      <c r="J10" s="12">
        <f t="shared" si="0"/>
        <v>8000</v>
      </c>
      <c r="K10" s="12">
        <f>+'[1]AGENCE CARREF'!$Q10</f>
        <v>10900</v>
      </c>
      <c r="L10" s="12">
        <v>0</v>
      </c>
      <c r="M10" s="12">
        <f>+J10+K10+L10</f>
        <v>18900</v>
      </c>
      <c r="N10" s="11">
        <v>8000</v>
      </c>
      <c r="O10" s="12">
        <f>+'[1]AGENCE CARREF'!$N10</f>
        <v>0</v>
      </c>
      <c r="P10" s="12"/>
      <c r="Q10" s="12">
        <f t="shared" si="2"/>
        <v>10900</v>
      </c>
    </row>
    <row r="11" spans="1:17" ht="21" customHeight="1">
      <c r="A11" s="10" t="s">
        <v>25</v>
      </c>
      <c r="B11" s="11"/>
      <c r="C11" s="11"/>
      <c r="D11" s="11"/>
      <c r="E11" s="11"/>
      <c r="F11" s="11"/>
      <c r="G11" s="11"/>
      <c r="H11" s="11"/>
      <c r="I11" s="11"/>
      <c r="J11" s="12">
        <f t="shared" si="0"/>
        <v>0</v>
      </c>
      <c r="K11" s="12">
        <f>+'[1]AGENCE CARREF'!$Q11</f>
        <v>85360</v>
      </c>
      <c r="L11" s="12">
        <v>0</v>
      </c>
      <c r="M11" s="12">
        <f t="shared" si="1"/>
        <v>85360</v>
      </c>
      <c r="N11" s="11">
        <v>0</v>
      </c>
      <c r="O11" s="12">
        <f>+'[1]AGENCE CARREF'!$N11</f>
        <v>0</v>
      </c>
      <c r="P11" s="12"/>
      <c r="Q11" s="12">
        <f t="shared" si="2"/>
        <v>85360</v>
      </c>
    </row>
    <row r="12" spans="1:17" ht="21" customHeight="1">
      <c r="A12" s="10" t="s">
        <v>49</v>
      </c>
      <c r="B12" s="11"/>
      <c r="C12" s="11">
        <v>120</v>
      </c>
      <c r="D12" s="11"/>
      <c r="E12" s="11">
        <v>50</v>
      </c>
      <c r="F12" s="11"/>
      <c r="G12" s="11"/>
      <c r="H12" s="11"/>
      <c r="I12" s="11"/>
      <c r="J12" s="12">
        <f t="shared" si="0"/>
        <v>17600</v>
      </c>
      <c r="K12" s="12">
        <f>+'[1]AGENCE CARREF'!$Q12</f>
        <v>10170</v>
      </c>
      <c r="L12" s="12">
        <v>1500</v>
      </c>
      <c r="M12" s="12">
        <f>+J12+K12+L12</f>
        <v>29270</v>
      </c>
      <c r="N12" s="11">
        <v>17500</v>
      </c>
      <c r="O12" s="12">
        <f>+'[1]AGENCE CARREF'!$N12</f>
        <v>20000</v>
      </c>
      <c r="P12" s="12"/>
      <c r="Q12" s="12">
        <f t="shared" si="2"/>
        <v>10270</v>
      </c>
    </row>
    <row r="13" spans="1:17" ht="21" customHeight="1">
      <c r="A13" s="10" t="s">
        <v>81</v>
      </c>
      <c r="B13" s="11"/>
      <c r="C13" s="11">
        <v>360</v>
      </c>
      <c r="D13" s="11">
        <v>633</v>
      </c>
      <c r="E13" s="11">
        <v>10</v>
      </c>
      <c r="F13" s="11"/>
      <c r="G13" s="11"/>
      <c r="H13" s="11"/>
      <c r="I13" s="11"/>
      <c r="J13" s="12">
        <f t="shared" si="0"/>
        <v>93700</v>
      </c>
      <c r="K13" s="12">
        <f>+'[1]AGENCE CARREF'!$Q13</f>
        <v>-49460</v>
      </c>
      <c r="L13" s="12"/>
      <c r="M13" s="12">
        <f>+J13+K13+L13</f>
        <v>44240</v>
      </c>
      <c r="N13" s="11">
        <v>96500</v>
      </c>
      <c r="O13" s="12">
        <f>+'[1]AGENCE CARREF'!$N13</f>
        <v>91900</v>
      </c>
      <c r="P13" s="12"/>
      <c r="Q13" s="12">
        <f t="shared" si="2"/>
        <v>-52260</v>
      </c>
    </row>
    <row r="14" spans="1:17" ht="21" customHeight="1">
      <c r="A14" s="10" t="s">
        <v>24</v>
      </c>
      <c r="B14" s="11"/>
      <c r="C14" s="11"/>
      <c r="D14" s="11"/>
      <c r="E14" s="11"/>
      <c r="F14" s="11"/>
      <c r="G14" s="11"/>
      <c r="H14" s="11"/>
      <c r="I14" s="11"/>
      <c r="J14" s="12">
        <f t="shared" si="0"/>
        <v>0</v>
      </c>
      <c r="K14" s="12">
        <f>+'[1]AGENCE CARREF'!$Q14</f>
        <v>-1259315</v>
      </c>
      <c r="L14" s="12">
        <v>0</v>
      </c>
      <c r="M14" s="12">
        <f t="shared" si="1"/>
        <v>-1259315</v>
      </c>
      <c r="N14" s="11">
        <v>70000</v>
      </c>
      <c r="O14" s="12">
        <f>+'[1]AGENCE CARREF'!$N14</f>
        <v>131400</v>
      </c>
      <c r="P14" s="12"/>
      <c r="Q14" s="12">
        <f t="shared" si="2"/>
        <v>-1329315</v>
      </c>
    </row>
    <row r="15" spans="1:17" ht="21" customHeight="1">
      <c r="A15" s="10" t="s">
        <v>77</v>
      </c>
      <c r="B15" s="11"/>
      <c r="C15" s="11"/>
      <c r="D15" s="11"/>
      <c r="E15" s="11"/>
      <c r="F15" s="11"/>
      <c r="G15" s="11"/>
      <c r="H15" s="11"/>
      <c r="I15" s="11"/>
      <c r="J15" s="12">
        <f t="shared" si="0"/>
        <v>0</v>
      </c>
      <c r="K15" s="12">
        <f>+'[1]AGENCE CARREF'!$Q15</f>
        <v>-58700</v>
      </c>
      <c r="L15" s="12">
        <v>0</v>
      </c>
      <c r="M15" s="12">
        <f t="shared" si="1"/>
        <v>-58700</v>
      </c>
      <c r="N15" s="11">
        <v>25440</v>
      </c>
      <c r="O15" s="12">
        <f>+'[1]AGENCE CARREF'!$N15</f>
        <v>24640</v>
      </c>
      <c r="P15" s="12"/>
      <c r="Q15" s="12">
        <f t="shared" si="2"/>
        <v>-84140</v>
      </c>
    </row>
    <row r="16" spans="1:17" ht="21" customHeight="1">
      <c r="A16" s="10" t="s">
        <v>78</v>
      </c>
      <c r="B16" s="11"/>
      <c r="C16" s="11"/>
      <c r="D16" s="11"/>
      <c r="E16" s="11"/>
      <c r="F16" s="11"/>
      <c r="G16" s="11"/>
      <c r="H16" s="11"/>
      <c r="I16" s="11"/>
      <c r="J16" s="12">
        <f t="shared" si="0"/>
        <v>0</v>
      </c>
      <c r="K16" s="12">
        <f>+'[1]AGENCE CARREF'!$Q16</f>
        <v>565560</v>
      </c>
      <c r="L16" s="12"/>
      <c r="M16" s="12"/>
      <c r="N16" s="11"/>
      <c r="O16" s="12">
        <f>+'[1]AGENCE CARREF'!$N16</f>
        <v>0</v>
      </c>
      <c r="P16" s="12"/>
      <c r="Q16" s="12">
        <f t="shared" si="2"/>
        <v>565560</v>
      </c>
    </row>
    <row r="17" spans="1:17" ht="21" customHeight="1">
      <c r="A17" s="16" t="s">
        <v>79</v>
      </c>
      <c r="B17" s="11"/>
      <c r="C17" s="11">
        <v>130</v>
      </c>
      <c r="D17" s="11"/>
      <c r="E17" s="11">
        <v>50</v>
      </c>
      <c r="F17" s="11"/>
      <c r="G17" s="11"/>
      <c r="H17" s="11"/>
      <c r="I17" s="11"/>
      <c r="J17" s="12">
        <f>+B17*40+C17*80+D17*100+E17*160+F17*125+H17*80+I17*100</f>
        <v>18400</v>
      </c>
      <c r="K17" s="12">
        <f>+'[1]AGENCE CARREF'!$Q17</f>
        <v>-10400</v>
      </c>
      <c r="L17" s="12">
        <v>24000</v>
      </c>
      <c r="M17" s="12">
        <f>+J17+K17+L17</f>
        <v>32000</v>
      </c>
      <c r="N17" s="11">
        <v>18400</v>
      </c>
      <c r="O17" s="12">
        <f>+'[1]AGENCE CARREF'!$N17</f>
        <v>17600</v>
      </c>
      <c r="P17" s="12"/>
      <c r="Q17" s="12">
        <f>+J17+K17-N17</f>
        <v>-10400</v>
      </c>
    </row>
    <row r="18" spans="1:17" ht="21" customHeight="1">
      <c r="A18" s="17" t="s">
        <v>47</v>
      </c>
      <c r="B18" s="11"/>
      <c r="C18" s="11"/>
      <c r="D18" s="11"/>
      <c r="E18" s="11"/>
      <c r="F18" s="11"/>
      <c r="G18" s="11"/>
      <c r="H18" s="11"/>
      <c r="I18" s="11"/>
      <c r="J18" s="12">
        <f>+B18*40+C18*80+D18*100+E18*160+F18*125+H18*80+I18*100</f>
        <v>0</v>
      </c>
      <c r="K18" s="12">
        <f>+'[2]AGENCE CARREF'!$Q18</f>
        <v>0</v>
      </c>
      <c r="L18" s="12">
        <v>10400</v>
      </c>
      <c r="M18" s="12">
        <f>+J18+K18+L18</f>
        <v>10400</v>
      </c>
      <c r="N18" s="11"/>
      <c r="O18" s="12">
        <f>+'[2]AGENCE CARREF'!$N18</f>
        <v>0</v>
      </c>
      <c r="P18" s="12"/>
      <c r="Q18" s="12">
        <f>+J18+K18-N18</f>
        <v>0</v>
      </c>
    </row>
    <row r="19" spans="1:17" ht="21" customHeight="1">
      <c r="A19" s="17" t="s">
        <v>48</v>
      </c>
      <c r="B19" s="11"/>
      <c r="C19" s="11"/>
      <c r="D19" s="11"/>
      <c r="E19" s="11"/>
      <c r="F19" s="11"/>
      <c r="G19" s="11"/>
      <c r="H19" s="11"/>
      <c r="I19" s="11"/>
      <c r="J19" s="12">
        <f>+B19*40+C19*80+D19*100+E19*160+F19*125+H19*80+I19*100</f>
        <v>0</v>
      </c>
      <c r="K19" s="12">
        <f>+'[2]AGENCE CARREF'!$Q19</f>
        <v>0</v>
      </c>
      <c r="L19" s="12">
        <v>11200</v>
      </c>
      <c r="M19" s="12">
        <f>+J19+K19+L19</f>
        <v>11200</v>
      </c>
      <c r="N19" s="11"/>
      <c r="O19" s="12">
        <f>+'[2]AGENCE CARREF'!$N19</f>
        <v>0</v>
      </c>
      <c r="P19" s="12"/>
      <c r="Q19" s="12">
        <f>+J19+K19-N19</f>
        <v>0</v>
      </c>
    </row>
    <row r="20" spans="1:17" ht="21" customHeight="1">
      <c r="A20" s="17" t="s">
        <v>50</v>
      </c>
      <c r="B20" s="11"/>
      <c r="C20" s="11"/>
      <c r="D20" s="11"/>
      <c r="E20" s="11"/>
      <c r="F20" s="11"/>
      <c r="G20" s="11"/>
      <c r="H20" s="11"/>
      <c r="I20" s="11"/>
      <c r="J20" s="12">
        <f>+B20*40+C20*80+D20*100+E20*160+F20*125+H20*80+I20*100</f>
        <v>0</v>
      </c>
      <c r="K20" s="12">
        <f>+'[2]AGENCE CARREF'!$Q20</f>
        <v>0</v>
      </c>
      <c r="L20" s="12">
        <v>42100</v>
      </c>
      <c r="M20" s="12">
        <f>+J20+K20+L20</f>
        <v>42100</v>
      </c>
      <c r="N20" s="11"/>
      <c r="O20" s="12">
        <f>+'[2]AGENCE CARREF'!$N20</f>
        <v>0</v>
      </c>
      <c r="P20" s="12"/>
      <c r="Q20" s="12">
        <f>+J20+K20-N20</f>
        <v>0</v>
      </c>
    </row>
    <row r="21" spans="1:17" s="3" customFormat="1" ht="21" customHeight="1">
      <c r="A21" s="18" t="s">
        <v>58</v>
      </c>
      <c r="B21" s="9">
        <f>+SUM(B4:B20)</f>
        <v>0</v>
      </c>
      <c r="C21" s="9">
        <f t="shared" ref="C21:Q21" si="3">+SUM(C4:C20)</f>
        <v>710</v>
      </c>
      <c r="D21" s="9">
        <f t="shared" si="3"/>
        <v>633</v>
      </c>
      <c r="E21" s="9">
        <f t="shared" si="3"/>
        <v>110</v>
      </c>
      <c r="F21" s="9">
        <f t="shared" si="3"/>
        <v>0</v>
      </c>
      <c r="G21" s="9">
        <f t="shared" si="3"/>
        <v>0</v>
      </c>
      <c r="H21" s="9">
        <f t="shared" si="3"/>
        <v>0</v>
      </c>
      <c r="I21" s="9">
        <f t="shared" si="3"/>
        <v>0</v>
      </c>
      <c r="J21" s="9">
        <f t="shared" si="3"/>
        <v>137700</v>
      </c>
      <c r="K21" s="9">
        <f t="shared" si="3"/>
        <v>-705885</v>
      </c>
      <c r="L21" s="9">
        <f t="shared" si="3"/>
        <v>89200</v>
      </c>
      <c r="M21" s="9">
        <f t="shared" si="3"/>
        <v>-1044545</v>
      </c>
      <c r="N21" s="9">
        <f t="shared" si="3"/>
        <v>235840</v>
      </c>
      <c r="O21" s="9">
        <f t="shared" si="3"/>
        <v>285540</v>
      </c>
      <c r="P21" s="9"/>
      <c r="Q21" s="9">
        <f t="shared" si="3"/>
        <v>-804025</v>
      </c>
    </row>
  </sheetData>
  <mergeCells count="10">
    <mergeCell ref="N2:N3"/>
    <mergeCell ref="O2:O3"/>
    <mergeCell ref="P2:P3"/>
    <mergeCell ref="Q2:Q3"/>
    <mergeCell ref="A2:A3"/>
    <mergeCell ref="B2:G2"/>
    <mergeCell ref="J2:J3"/>
    <mergeCell ref="K2:K3"/>
    <mergeCell ref="L2:L3"/>
    <mergeCell ref="M2:M3"/>
  </mergeCells>
  <phoneticPr fontId="6" type="noConversion"/>
  <pageMargins left="0.2" right="0.2" top="0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workbookViewId="0">
      <selection activeCell="N13" sqref="N13"/>
    </sheetView>
  </sheetViews>
  <sheetFormatPr baseColWidth="10" defaultRowHeight="14.25"/>
  <cols>
    <col min="1" max="1" width="17.875" customWidth="1"/>
    <col min="2" max="2" width="4.25" style="2" customWidth="1"/>
    <col min="3" max="3" width="6.5" style="2" customWidth="1"/>
    <col min="4" max="4" width="5" style="2" customWidth="1"/>
    <col min="5" max="5" width="6.125" style="2" customWidth="1"/>
    <col min="6" max="6" width="5.75" style="2" customWidth="1"/>
    <col min="7" max="7" width="5.625" style="2" customWidth="1"/>
    <col min="8" max="8" width="6" style="2" customWidth="1"/>
    <col min="9" max="9" width="6.375" style="2" bestFit="1" customWidth="1"/>
    <col min="10" max="10" width="7.5" style="2" customWidth="1"/>
    <col min="11" max="11" width="8.875" style="2" customWidth="1"/>
    <col min="12" max="12" width="9.75" style="6" customWidth="1"/>
    <col min="13" max="13" width="10.375" style="6" customWidth="1"/>
    <col min="14" max="14" width="8.125" style="7" customWidth="1"/>
    <col min="15" max="15" width="7.25" style="7" customWidth="1"/>
    <col min="16" max="16" width="6.625" style="5" customWidth="1"/>
    <col min="17" max="17" width="8.75" customWidth="1"/>
  </cols>
  <sheetData>
    <row r="1" spans="1:17">
      <c r="A1" s="31" t="s">
        <v>27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20" t="s">
        <v>28</v>
      </c>
      <c r="N1" s="21">
        <f ca="1">+TODAY()</f>
        <v>46237</v>
      </c>
      <c r="O1" s="21"/>
      <c r="P1" s="10"/>
      <c r="Q1" s="10"/>
    </row>
    <row r="2" spans="1:17" s="1" customFormat="1" ht="15">
      <c r="A2" s="30" t="s">
        <v>0</v>
      </c>
      <c r="B2" s="29" t="s">
        <v>7</v>
      </c>
      <c r="C2" s="29"/>
      <c r="D2" s="29"/>
      <c r="E2" s="29"/>
      <c r="F2" s="29"/>
      <c r="G2" s="29"/>
      <c r="H2" s="8" t="s">
        <v>6</v>
      </c>
      <c r="I2" s="8" t="s">
        <v>31</v>
      </c>
      <c r="J2" s="29" t="s">
        <v>8</v>
      </c>
      <c r="K2" s="29" t="s">
        <v>9</v>
      </c>
      <c r="L2" s="29" t="s">
        <v>10</v>
      </c>
      <c r="M2" s="29" t="s">
        <v>11</v>
      </c>
      <c r="N2" s="29" t="s">
        <v>1</v>
      </c>
      <c r="O2" s="29" t="s">
        <v>46</v>
      </c>
      <c r="P2" s="30" t="s">
        <v>2</v>
      </c>
      <c r="Q2" s="30" t="s">
        <v>30</v>
      </c>
    </row>
    <row r="3" spans="1:17" s="1" customFormat="1" ht="22.5">
      <c r="A3" s="30"/>
      <c r="B3" s="8">
        <v>40</v>
      </c>
      <c r="C3" s="8">
        <v>75</v>
      </c>
      <c r="D3" s="8">
        <v>100</v>
      </c>
      <c r="E3" s="8" t="s">
        <v>3</v>
      </c>
      <c r="F3" s="8" t="s">
        <v>4</v>
      </c>
      <c r="G3" s="8" t="s">
        <v>5</v>
      </c>
      <c r="H3" s="8">
        <v>80</v>
      </c>
      <c r="I3" s="8">
        <v>100</v>
      </c>
      <c r="J3" s="29"/>
      <c r="K3" s="29"/>
      <c r="L3" s="29"/>
      <c r="M3" s="29"/>
      <c r="N3" s="29"/>
      <c r="O3" s="29"/>
      <c r="P3" s="30"/>
      <c r="Q3" s="30"/>
    </row>
    <row r="4" spans="1:17" ht="24.75" customHeight="1">
      <c r="A4" s="10" t="s">
        <v>12</v>
      </c>
      <c r="B4" s="11"/>
      <c r="C4" s="11">
        <v>345</v>
      </c>
      <c r="D4" s="11">
        <v>300</v>
      </c>
      <c r="E4" s="11">
        <v>15</v>
      </c>
      <c r="F4" s="11"/>
      <c r="G4" s="11"/>
      <c r="H4" s="11"/>
      <c r="I4" s="11"/>
      <c r="J4" s="12">
        <f t="shared" ref="J4:J17" si="0">+B4*40+C4*75+D4*100+E4*160+F4*160+H4*80+I4*100</f>
        <v>58275</v>
      </c>
      <c r="K4" s="12">
        <f>+'[1]LIVREUR EXTERNE'!$Q4</f>
        <v>432280</v>
      </c>
      <c r="L4" s="12">
        <v>2003045</v>
      </c>
      <c r="M4" s="12">
        <f>+SUM(J4:L4)</f>
        <v>2493600</v>
      </c>
      <c r="N4" s="11">
        <v>57500</v>
      </c>
      <c r="O4" s="12">
        <f>+'[1]LIVREUR EXTERNE'!$N4</f>
        <v>167025</v>
      </c>
      <c r="P4" s="10"/>
      <c r="Q4" s="13">
        <f>+J4+K4-N4</f>
        <v>433055</v>
      </c>
    </row>
    <row r="5" spans="1:17" ht="24.75" customHeight="1">
      <c r="A5" s="10" t="s">
        <v>19</v>
      </c>
      <c r="B5" s="11"/>
      <c r="C5" s="11">
        <v>440</v>
      </c>
      <c r="D5" s="11">
        <v>50</v>
      </c>
      <c r="E5" s="11"/>
      <c r="F5" s="11"/>
      <c r="G5" s="11"/>
      <c r="H5" s="11"/>
      <c r="I5" s="11"/>
      <c r="J5" s="12">
        <f t="shared" si="0"/>
        <v>38000</v>
      </c>
      <c r="K5" s="12">
        <f>+'[1]LIVREUR EXTERNE'!$Q5</f>
        <v>371090</v>
      </c>
      <c r="L5" s="12">
        <v>833780</v>
      </c>
      <c r="M5" s="12">
        <f t="shared" ref="M5:M17" si="1">+SUM(J5:L5)</f>
        <v>1242870</v>
      </c>
      <c r="N5" s="11">
        <v>0</v>
      </c>
      <c r="O5" s="12">
        <f>+'[1]LIVREUR EXTERNE'!$N5</f>
        <v>61000</v>
      </c>
      <c r="P5" s="10"/>
      <c r="Q5" s="13">
        <f t="shared" ref="Q5:Q17" si="2">+J5+K5-N5</f>
        <v>409090</v>
      </c>
    </row>
    <row r="6" spans="1:17" ht="24.75" customHeight="1">
      <c r="A6" s="10" t="s">
        <v>26</v>
      </c>
      <c r="B6" s="11"/>
      <c r="C6" s="11">
        <v>1160</v>
      </c>
      <c r="D6" s="11">
        <v>500</v>
      </c>
      <c r="E6" s="11">
        <v>5</v>
      </c>
      <c r="F6" s="11"/>
      <c r="G6" s="11"/>
      <c r="H6" s="11"/>
      <c r="I6" s="11">
        <v>10</v>
      </c>
      <c r="J6" s="12">
        <f t="shared" si="0"/>
        <v>138800</v>
      </c>
      <c r="K6" s="12">
        <f>+'[1]LIVREUR EXTERNE'!$Q6</f>
        <v>467630</v>
      </c>
      <c r="L6" s="12">
        <v>1466430</v>
      </c>
      <c r="M6" s="12">
        <f t="shared" si="1"/>
        <v>2072860</v>
      </c>
      <c r="N6" s="11">
        <v>150000</v>
      </c>
      <c r="O6" s="12">
        <f>+'[1]LIVREUR EXTERNE'!$N6</f>
        <v>100000</v>
      </c>
      <c r="P6" s="10"/>
      <c r="Q6" s="13">
        <f t="shared" si="2"/>
        <v>456430</v>
      </c>
    </row>
    <row r="7" spans="1:17" ht="24.75" customHeight="1">
      <c r="A7" s="10" t="s">
        <v>15</v>
      </c>
      <c r="B7" s="11"/>
      <c r="C7" s="11">
        <v>810</v>
      </c>
      <c r="D7" s="11">
        <v>530</v>
      </c>
      <c r="E7" s="11">
        <v>5</v>
      </c>
      <c r="F7" s="11"/>
      <c r="G7" s="11"/>
      <c r="H7" s="11"/>
      <c r="I7" s="11"/>
      <c r="J7" s="12">
        <f t="shared" si="0"/>
        <v>114550</v>
      </c>
      <c r="K7" s="12">
        <f>+'[1]LIVREUR EXTERNE'!$Q7</f>
        <v>504810</v>
      </c>
      <c r="L7" s="12">
        <v>1897085</v>
      </c>
      <c r="M7" s="12">
        <f t="shared" si="1"/>
        <v>2516445</v>
      </c>
      <c r="N7" s="11">
        <v>0</v>
      </c>
      <c r="O7" s="12">
        <f>+'[1]LIVREUR EXTERNE'!$N7</f>
        <v>107000</v>
      </c>
      <c r="P7" s="10"/>
      <c r="Q7" s="13">
        <f t="shared" si="2"/>
        <v>619360</v>
      </c>
    </row>
    <row r="8" spans="1:17" ht="24.75" customHeight="1">
      <c r="A8" s="10" t="s">
        <v>17</v>
      </c>
      <c r="B8" s="11"/>
      <c r="C8" s="11">
        <v>700</v>
      </c>
      <c r="D8" s="11">
        <v>760</v>
      </c>
      <c r="E8" s="11">
        <v>5</v>
      </c>
      <c r="F8" s="11"/>
      <c r="G8" s="11"/>
      <c r="H8" s="11"/>
      <c r="I8" s="11">
        <v>10</v>
      </c>
      <c r="J8" s="12">
        <f t="shared" si="0"/>
        <v>130300</v>
      </c>
      <c r="K8" s="12">
        <f>+'[1]LIVREUR EXTERNE'!$Q8</f>
        <v>547945</v>
      </c>
      <c r="L8" s="12">
        <v>1412040</v>
      </c>
      <c r="M8" s="12">
        <f t="shared" si="1"/>
        <v>2090285</v>
      </c>
      <c r="N8" s="11">
        <v>0</v>
      </c>
      <c r="O8" s="12">
        <f>+'[1]LIVREUR EXTERNE'!$N8</f>
        <v>133500</v>
      </c>
      <c r="P8" s="10"/>
      <c r="Q8" s="13">
        <f t="shared" si="2"/>
        <v>678245</v>
      </c>
    </row>
    <row r="9" spans="1:17" ht="24.75" customHeight="1">
      <c r="A9" s="10" t="s">
        <v>29</v>
      </c>
      <c r="B9" s="11">
        <v>250</v>
      </c>
      <c r="C9" s="11">
        <v>1180</v>
      </c>
      <c r="D9" s="11">
        <v>790</v>
      </c>
      <c r="E9" s="11">
        <v>5</v>
      </c>
      <c r="F9" s="11"/>
      <c r="G9" s="11"/>
      <c r="H9" s="11"/>
      <c r="I9" s="11"/>
      <c r="J9" s="12">
        <f t="shared" si="0"/>
        <v>178300</v>
      </c>
      <c r="K9" s="12">
        <f>+'[1]LIVREUR EXTERNE'!$Q9</f>
        <v>674736</v>
      </c>
      <c r="L9" s="12">
        <v>2175630</v>
      </c>
      <c r="M9" s="12">
        <f t="shared" si="1"/>
        <v>3028666</v>
      </c>
      <c r="N9" s="11">
        <f>60000+85500</f>
        <v>145500</v>
      </c>
      <c r="O9" s="12">
        <f>+'[1]LIVREUR EXTERNE'!$N9</f>
        <v>171500</v>
      </c>
      <c r="P9" s="10"/>
      <c r="Q9" s="13">
        <f t="shared" si="2"/>
        <v>707536</v>
      </c>
    </row>
    <row r="10" spans="1:17" ht="24.75" customHeight="1">
      <c r="A10" s="10" t="s">
        <v>21</v>
      </c>
      <c r="B10" s="11"/>
      <c r="C10" s="11">
        <v>760</v>
      </c>
      <c r="D10" s="11">
        <v>750</v>
      </c>
      <c r="E10" s="11">
        <v>36</v>
      </c>
      <c r="F10" s="11"/>
      <c r="G10" s="11"/>
      <c r="H10" s="11"/>
      <c r="I10" s="11"/>
      <c r="J10" s="12">
        <f t="shared" si="0"/>
        <v>137760</v>
      </c>
      <c r="K10" s="12">
        <f>+'[1]LIVREUR EXTERNE'!$Q10</f>
        <v>224510</v>
      </c>
      <c r="L10" s="12">
        <v>1337940</v>
      </c>
      <c r="M10" s="12">
        <f t="shared" si="1"/>
        <v>1700210</v>
      </c>
      <c r="N10" s="11">
        <v>133000</v>
      </c>
      <c r="O10" s="12">
        <f>+'[1]LIVREUR EXTERNE'!$N10</f>
        <v>122500</v>
      </c>
      <c r="P10" s="10"/>
      <c r="Q10" s="13">
        <f t="shared" si="2"/>
        <v>229270</v>
      </c>
    </row>
    <row r="11" spans="1:17" ht="24.75" customHeight="1">
      <c r="A11" s="10" t="s">
        <v>14</v>
      </c>
      <c r="B11" s="14"/>
      <c r="C11" s="14">
        <v>565</v>
      </c>
      <c r="D11" s="14">
        <v>720</v>
      </c>
      <c r="E11" s="14">
        <v>18</v>
      </c>
      <c r="F11" s="14"/>
      <c r="G11" s="14"/>
      <c r="H11" s="14"/>
      <c r="I11" s="14"/>
      <c r="J11" s="15">
        <f t="shared" si="0"/>
        <v>117255</v>
      </c>
      <c r="K11" s="12">
        <f>+'[1]LIVREUR EXTERNE'!$Q11</f>
        <v>231105</v>
      </c>
      <c r="L11" s="15">
        <v>582810</v>
      </c>
      <c r="M11" s="12">
        <f t="shared" si="1"/>
        <v>931170</v>
      </c>
      <c r="N11" s="14">
        <v>95000</v>
      </c>
      <c r="O11" s="12">
        <f>+'[1]LIVREUR EXTERNE'!$N11</f>
        <v>216500</v>
      </c>
      <c r="P11" s="16"/>
      <c r="Q11" s="13">
        <f t="shared" si="2"/>
        <v>253360</v>
      </c>
    </row>
    <row r="12" spans="1:17" ht="24.75" customHeight="1">
      <c r="A12" s="10" t="s">
        <v>75</v>
      </c>
      <c r="B12" s="14"/>
      <c r="C12" s="14">
        <v>200</v>
      </c>
      <c r="D12" s="14">
        <v>320</v>
      </c>
      <c r="E12" s="14">
        <v>21</v>
      </c>
      <c r="F12" s="14"/>
      <c r="G12" s="14"/>
      <c r="H12" s="14"/>
      <c r="I12" s="14"/>
      <c r="J12" s="15">
        <f t="shared" si="0"/>
        <v>50360</v>
      </c>
      <c r="K12" s="12">
        <f>+'[1]LIVREUR EXTERNE'!$Q12</f>
        <v>-33620</v>
      </c>
      <c r="L12" s="15">
        <v>0</v>
      </c>
      <c r="M12" s="12">
        <f t="shared" si="1"/>
        <v>16740</v>
      </c>
      <c r="N12" s="14">
        <v>42400</v>
      </c>
      <c r="O12" s="12">
        <f>+'[1]LIVREUR EXTERNE'!$N12</f>
        <v>47350</v>
      </c>
      <c r="P12" s="16"/>
      <c r="Q12" s="13">
        <f t="shared" si="2"/>
        <v>-25660</v>
      </c>
    </row>
    <row r="13" spans="1:17" ht="24.75" customHeight="1">
      <c r="A13" s="10" t="s">
        <v>76</v>
      </c>
      <c r="B13" s="14"/>
      <c r="C13" s="14">
        <v>1450</v>
      </c>
      <c r="D13" s="14">
        <v>1000</v>
      </c>
      <c r="E13" s="14"/>
      <c r="F13" s="14"/>
      <c r="G13" s="14"/>
      <c r="H13" s="14"/>
      <c r="I13" s="14">
        <v>5</v>
      </c>
      <c r="J13" s="15">
        <f t="shared" si="0"/>
        <v>209250</v>
      </c>
      <c r="K13" s="12">
        <f>+'[1]LIVREUR EXTERNE'!$Q13</f>
        <v>210005</v>
      </c>
      <c r="L13" s="15">
        <v>0</v>
      </c>
      <c r="M13" s="12">
        <f t="shared" si="1"/>
        <v>419255</v>
      </c>
      <c r="N13" s="14"/>
      <c r="O13" s="12">
        <f>+'[1]LIVREUR EXTERNE'!$N13</f>
        <v>250000</v>
      </c>
      <c r="P13" s="16"/>
      <c r="Q13" s="13">
        <f>+J13+K13-N13</f>
        <v>419255</v>
      </c>
    </row>
    <row r="14" spans="1:17" ht="24.75" customHeight="1">
      <c r="A14" s="17" t="s">
        <v>20</v>
      </c>
      <c r="B14" s="14"/>
      <c r="C14" s="14"/>
      <c r="D14" s="14"/>
      <c r="E14" s="14"/>
      <c r="F14" s="14"/>
      <c r="G14" s="14"/>
      <c r="H14" s="14"/>
      <c r="I14" s="14"/>
      <c r="J14" s="15">
        <f t="shared" si="0"/>
        <v>0</v>
      </c>
      <c r="K14" s="12">
        <f>+'[2]LIVREUR EXTERNE'!$Q14</f>
        <v>0</v>
      </c>
      <c r="L14" s="15">
        <v>467850</v>
      </c>
      <c r="M14" s="12">
        <f t="shared" si="1"/>
        <v>467850</v>
      </c>
      <c r="N14" s="14"/>
      <c r="O14" s="12">
        <f>+'[2]LIVREUR EXTERNE'!$N14</f>
        <v>0</v>
      </c>
      <c r="P14" s="16"/>
      <c r="Q14" s="13">
        <f t="shared" si="2"/>
        <v>0</v>
      </c>
    </row>
    <row r="15" spans="1:17" ht="24.75" customHeight="1">
      <c r="A15" s="17" t="s">
        <v>13</v>
      </c>
      <c r="B15" s="14"/>
      <c r="C15" s="14"/>
      <c r="D15" s="14"/>
      <c r="E15" s="14"/>
      <c r="F15" s="14"/>
      <c r="G15" s="14"/>
      <c r="H15" s="14"/>
      <c r="I15" s="14"/>
      <c r="J15" s="15">
        <f t="shared" si="0"/>
        <v>0</v>
      </c>
      <c r="K15" s="12">
        <f>+'[2]LIVREUR EXTERNE'!$Q15</f>
        <v>0</v>
      </c>
      <c r="L15" s="15">
        <v>249900</v>
      </c>
      <c r="M15" s="12">
        <f t="shared" si="1"/>
        <v>249900</v>
      </c>
      <c r="N15" s="14"/>
      <c r="O15" s="12">
        <f>+'[2]LIVREUR EXTERNE'!$N15</f>
        <v>0</v>
      </c>
      <c r="P15" s="16"/>
      <c r="Q15" s="13">
        <f t="shared" si="2"/>
        <v>0</v>
      </c>
    </row>
    <row r="16" spans="1:17" ht="24.75" customHeight="1">
      <c r="A16" s="17" t="s">
        <v>16</v>
      </c>
      <c r="B16" s="14"/>
      <c r="C16" s="14"/>
      <c r="D16" s="14"/>
      <c r="E16" s="14"/>
      <c r="F16" s="14"/>
      <c r="G16" s="14"/>
      <c r="H16" s="14"/>
      <c r="I16" s="14"/>
      <c r="J16" s="15">
        <f t="shared" si="0"/>
        <v>0</v>
      </c>
      <c r="K16" s="12">
        <f>+'[2]LIVREUR EXTERNE'!$Q16</f>
        <v>0</v>
      </c>
      <c r="L16" s="15">
        <v>541770</v>
      </c>
      <c r="M16" s="12">
        <f t="shared" si="1"/>
        <v>541770</v>
      </c>
      <c r="N16" s="14"/>
      <c r="O16" s="12">
        <f>+'[2]LIVREUR EXTERNE'!$N16</f>
        <v>0</v>
      </c>
      <c r="P16" s="16"/>
      <c r="Q16" s="13">
        <f t="shared" si="2"/>
        <v>0</v>
      </c>
    </row>
    <row r="17" spans="1:17" ht="24.75" customHeight="1">
      <c r="A17" s="17" t="s">
        <v>18</v>
      </c>
      <c r="B17" s="14"/>
      <c r="C17" s="14"/>
      <c r="D17" s="14"/>
      <c r="E17" s="14"/>
      <c r="F17" s="14"/>
      <c r="G17" s="14"/>
      <c r="H17" s="14"/>
      <c r="I17" s="14"/>
      <c r="J17" s="15">
        <f t="shared" si="0"/>
        <v>0</v>
      </c>
      <c r="K17" s="12">
        <f>+'[2]LIVREUR EXTERNE'!$Q17</f>
        <v>0</v>
      </c>
      <c r="L17" s="15">
        <v>499585</v>
      </c>
      <c r="M17" s="12">
        <f t="shared" si="1"/>
        <v>499585</v>
      </c>
      <c r="N17" s="14"/>
      <c r="O17" s="12">
        <f>+'[2]LIVREUR EXTERNE'!$N17</f>
        <v>0</v>
      </c>
      <c r="P17" s="16"/>
      <c r="Q17" s="13">
        <f t="shared" si="2"/>
        <v>0</v>
      </c>
    </row>
    <row r="18" spans="1:17" s="3" customFormat="1" ht="24.75" customHeight="1">
      <c r="A18" s="18" t="s">
        <v>22</v>
      </c>
      <c r="B18" s="9">
        <f>+SUM(B4:B17)</f>
        <v>250</v>
      </c>
      <c r="C18" s="9">
        <f t="shared" ref="C18:N18" si="3">+SUM(C4:C17)</f>
        <v>7610</v>
      </c>
      <c r="D18" s="9">
        <f t="shared" si="3"/>
        <v>5720</v>
      </c>
      <c r="E18" s="9">
        <f>+SUM(E4:E17)</f>
        <v>110</v>
      </c>
      <c r="F18" s="9">
        <f t="shared" si="3"/>
        <v>0</v>
      </c>
      <c r="G18" s="9">
        <f t="shared" si="3"/>
        <v>0</v>
      </c>
      <c r="H18" s="9">
        <f t="shared" si="3"/>
        <v>0</v>
      </c>
      <c r="I18" s="9">
        <f t="shared" si="3"/>
        <v>25</v>
      </c>
      <c r="J18" s="9">
        <f t="shared" si="3"/>
        <v>1172850</v>
      </c>
      <c r="K18" s="9">
        <f>+SUM(K4:K17)</f>
        <v>3630491</v>
      </c>
      <c r="L18" s="9">
        <f>+SUM(L4:L17)</f>
        <v>13467865</v>
      </c>
      <c r="M18" s="9">
        <f t="shared" si="3"/>
        <v>18271206</v>
      </c>
      <c r="N18" s="9">
        <f t="shared" si="3"/>
        <v>623400</v>
      </c>
      <c r="O18" s="9"/>
      <c r="P18" s="18"/>
      <c r="Q18" s="19">
        <f>+SUM(Q4:Q17)</f>
        <v>4179941</v>
      </c>
    </row>
    <row r="20" spans="1:17" ht="15" customHeight="1">
      <c r="B20" s="22"/>
      <c r="C20" s="22"/>
      <c r="D20" s="22"/>
      <c r="E20" s="22"/>
    </row>
    <row r="30" spans="1:17">
      <c r="B30" s="22"/>
    </row>
    <row r="31" spans="1:17">
      <c r="B31" s="22">
        <f>+B20</f>
        <v>0</v>
      </c>
      <c r="C31" s="22">
        <f>+C20</f>
        <v>0</v>
      </c>
      <c r="D31" s="22">
        <f>+D20</f>
        <v>0</v>
      </c>
      <c r="E31" s="22">
        <f>+E20</f>
        <v>0</v>
      </c>
    </row>
  </sheetData>
  <mergeCells count="11">
    <mergeCell ref="Q2:Q3"/>
    <mergeCell ref="N2:N3"/>
    <mergeCell ref="P2:P3"/>
    <mergeCell ref="A1:L1"/>
    <mergeCell ref="A2:A3"/>
    <mergeCell ref="B2:G2"/>
    <mergeCell ref="J2:J3"/>
    <mergeCell ref="K2:K3"/>
    <mergeCell ref="L2:L3"/>
    <mergeCell ref="M2:M3"/>
    <mergeCell ref="O2:O3"/>
  </mergeCells>
  <pageMargins left="0" right="0" top="0" bottom="0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"/>
  <sheetViews>
    <sheetView zoomScaleNormal="100" workbookViewId="0">
      <selection activeCell="R27" sqref="R27"/>
    </sheetView>
  </sheetViews>
  <sheetFormatPr baseColWidth="10" defaultRowHeight="14.25"/>
  <cols>
    <col min="1" max="1" width="14.75" customWidth="1"/>
    <col min="2" max="2" width="4.75" style="7" bestFit="1" customWidth="1"/>
    <col min="3" max="3" width="5" style="7" customWidth="1"/>
    <col min="4" max="6" width="4.75" style="7" bestFit="1" customWidth="1"/>
    <col min="7" max="7" width="5.25" style="7" customWidth="1"/>
    <col min="8" max="8" width="4.875" style="7" bestFit="1" customWidth="1"/>
    <col min="9" max="9" width="4.75" style="7" bestFit="1" customWidth="1"/>
    <col min="10" max="10" width="4.75" style="7" customWidth="1"/>
    <col min="11" max="11" width="4.75" style="7" bestFit="1" customWidth="1"/>
    <col min="12" max="12" width="6" style="7" bestFit="1" customWidth="1"/>
    <col min="13" max="13" width="5" style="7" customWidth="1"/>
    <col min="14" max="14" width="7" style="6" customWidth="1"/>
    <col min="15" max="15" width="8" style="6" customWidth="1"/>
    <col min="16" max="16" width="7.625" style="6" customWidth="1"/>
    <col min="17" max="17" width="8.5" style="6" customWidth="1"/>
    <col min="18" max="18" width="7.875" style="7" customWidth="1"/>
    <col min="19" max="19" width="6.875" style="7" customWidth="1"/>
    <col min="20" max="20" width="5.375" style="7" customWidth="1"/>
    <col min="21" max="21" width="7.75" style="2" customWidth="1"/>
  </cols>
  <sheetData>
    <row r="1" spans="1:21" s="4" customFormat="1" ht="15" customHeight="1">
      <c r="A1" s="30" t="s">
        <v>0</v>
      </c>
      <c r="B1" s="29" t="s">
        <v>33</v>
      </c>
      <c r="C1" s="29"/>
      <c r="D1" s="29"/>
      <c r="E1" s="29"/>
      <c r="F1" s="29" t="s">
        <v>32</v>
      </c>
      <c r="G1" s="29"/>
      <c r="H1" s="29"/>
      <c r="I1" s="29"/>
      <c r="J1" s="29"/>
      <c r="K1" s="8" t="s">
        <v>6</v>
      </c>
      <c r="L1" s="8" t="s">
        <v>31</v>
      </c>
      <c r="M1" s="8"/>
      <c r="N1" s="29" t="s">
        <v>8</v>
      </c>
      <c r="O1" s="29" t="s">
        <v>9</v>
      </c>
      <c r="P1" s="29" t="s">
        <v>10</v>
      </c>
      <c r="Q1" s="29" t="s">
        <v>11</v>
      </c>
      <c r="R1" s="29" t="s">
        <v>1</v>
      </c>
      <c r="S1" s="29" t="s">
        <v>46</v>
      </c>
      <c r="T1" s="29" t="s">
        <v>2</v>
      </c>
      <c r="U1" s="29" t="s">
        <v>30</v>
      </c>
    </row>
    <row r="2" spans="1:21" s="4" customFormat="1" ht="33.75">
      <c r="A2" s="30"/>
      <c r="B2" s="8">
        <v>40</v>
      </c>
      <c r="C2" s="8">
        <v>80</v>
      </c>
      <c r="D2" s="8">
        <v>100</v>
      </c>
      <c r="E2" s="8">
        <v>160</v>
      </c>
      <c r="F2" s="8">
        <v>40</v>
      </c>
      <c r="G2" s="8">
        <v>80</v>
      </c>
      <c r="H2" s="8">
        <v>125</v>
      </c>
      <c r="I2" s="8">
        <v>160</v>
      </c>
      <c r="J2" s="8" t="s">
        <v>5</v>
      </c>
      <c r="K2" s="8">
        <v>80</v>
      </c>
      <c r="L2" s="8">
        <v>100</v>
      </c>
      <c r="M2" s="8"/>
      <c r="N2" s="29"/>
      <c r="O2" s="29"/>
      <c r="P2" s="29"/>
      <c r="Q2" s="29"/>
      <c r="R2" s="29"/>
      <c r="S2" s="29"/>
      <c r="T2" s="29"/>
      <c r="U2" s="29"/>
    </row>
    <row r="3" spans="1:21" ht="22.5" customHeight="1">
      <c r="A3" s="10" t="s">
        <v>34</v>
      </c>
      <c r="B3" s="11">
        <v>100</v>
      </c>
      <c r="C3" s="11">
        <v>1325</v>
      </c>
      <c r="D3" s="11"/>
      <c r="E3" s="11"/>
      <c r="F3" s="11"/>
      <c r="G3" s="11">
        <v>975</v>
      </c>
      <c r="H3" s="11"/>
      <c r="I3" s="11"/>
      <c r="J3" s="11"/>
      <c r="K3" s="11"/>
      <c r="L3" s="11"/>
      <c r="M3" s="11"/>
      <c r="N3" s="12">
        <f t="shared" ref="N3:N8" si="0">+B3*40+C3*80+D3*100+E3*160+F3*40+G3*80+H3*125+I3*160+K3*80+L3*100</f>
        <v>188000</v>
      </c>
      <c r="O3" s="12">
        <f>+'[1]LIVREUR INTERNE ETC'!$U3</f>
        <v>3313820</v>
      </c>
      <c r="P3" s="12">
        <v>295950</v>
      </c>
      <c r="Q3" s="12">
        <f t="shared" ref="Q3:Q13" si="1">+N3+O3+P3</f>
        <v>3797770</v>
      </c>
      <c r="R3" s="11">
        <v>175200</v>
      </c>
      <c r="S3" s="12">
        <f>+'[1]LIVREUR INTERNE ETC'!$R3</f>
        <v>262030</v>
      </c>
      <c r="T3" s="12"/>
      <c r="U3" s="12">
        <f t="shared" ref="U3:U13" si="2">+N3+O3-R3</f>
        <v>3326620</v>
      </c>
    </row>
    <row r="4" spans="1:21" ht="22.5" customHeight="1">
      <c r="A4" s="10" t="s">
        <v>40</v>
      </c>
      <c r="B4" s="11"/>
      <c r="C4" s="11">
        <v>35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2">
        <f t="shared" si="0"/>
        <v>2800</v>
      </c>
      <c r="O4" s="12">
        <f>+'[1]LIVREUR INTERNE ETC'!$U4</f>
        <v>249435</v>
      </c>
      <c r="P4" s="12">
        <v>476485</v>
      </c>
      <c r="Q4" s="12">
        <f t="shared" si="1"/>
        <v>728720</v>
      </c>
      <c r="R4" s="11">
        <v>0</v>
      </c>
      <c r="S4" s="12">
        <f>+'[1]LIVREUR INTERNE ETC'!$R4</f>
        <v>0</v>
      </c>
      <c r="T4" s="12"/>
      <c r="U4" s="12">
        <f t="shared" si="2"/>
        <v>252235</v>
      </c>
    </row>
    <row r="5" spans="1:21" ht="22.5" customHeight="1">
      <c r="A5" s="10" t="s">
        <v>37</v>
      </c>
      <c r="B5" s="11"/>
      <c r="C5" s="11">
        <v>365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2">
        <f t="shared" si="0"/>
        <v>29200</v>
      </c>
      <c r="O5" s="12">
        <f>+'[1]LIVREUR INTERNE ETC'!$U5</f>
        <v>1543860</v>
      </c>
      <c r="P5" s="12">
        <v>91600</v>
      </c>
      <c r="Q5" s="12">
        <f t="shared" si="1"/>
        <v>1664660</v>
      </c>
      <c r="R5" s="11">
        <v>0</v>
      </c>
      <c r="S5" s="12">
        <f>+'[1]LIVREUR INTERNE ETC'!$R5</f>
        <v>0</v>
      </c>
      <c r="T5" s="12"/>
      <c r="U5" s="12">
        <f t="shared" si="2"/>
        <v>1573060</v>
      </c>
    </row>
    <row r="6" spans="1:21" ht="22.5" customHeight="1">
      <c r="A6" s="10" t="s">
        <v>39</v>
      </c>
      <c r="B6" s="11">
        <v>250</v>
      </c>
      <c r="C6" s="11">
        <v>1690</v>
      </c>
      <c r="D6" s="11"/>
      <c r="E6" s="11">
        <v>125</v>
      </c>
      <c r="F6" s="11"/>
      <c r="G6" s="11">
        <v>500</v>
      </c>
      <c r="H6" s="11"/>
      <c r="I6" s="11">
        <v>40</v>
      </c>
      <c r="J6" s="11"/>
      <c r="K6" s="11"/>
      <c r="L6" s="11"/>
      <c r="M6" s="11"/>
      <c r="N6" s="12">
        <f t="shared" si="0"/>
        <v>211600</v>
      </c>
      <c r="O6" s="12">
        <f>+'[1]LIVREUR INTERNE ETC'!$U6</f>
        <v>424365</v>
      </c>
      <c r="P6" s="12">
        <v>785440</v>
      </c>
      <c r="Q6" s="12">
        <f t="shared" si="1"/>
        <v>1421405</v>
      </c>
      <c r="R6" s="11">
        <v>0</v>
      </c>
      <c r="S6" s="12">
        <f>+'[1]LIVREUR INTERNE ETC'!$R6</f>
        <v>493000</v>
      </c>
      <c r="T6" s="12"/>
      <c r="U6" s="12">
        <f t="shared" si="2"/>
        <v>635965</v>
      </c>
    </row>
    <row r="7" spans="1:21" ht="22.5" customHeight="1">
      <c r="A7" s="10" t="s">
        <v>35</v>
      </c>
      <c r="B7" s="11"/>
      <c r="C7" s="11">
        <v>1900</v>
      </c>
      <c r="D7" s="11"/>
      <c r="E7" s="11">
        <v>160</v>
      </c>
      <c r="F7" s="11"/>
      <c r="G7" s="11">
        <v>550</v>
      </c>
      <c r="H7" s="11"/>
      <c r="I7" s="11"/>
      <c r="J7" s="11"/>
      <c r="K7" s="11"/>
      <c r="L7" s="11"/>
      <c r="M7" s="11"/>
      <c r="N7" s="12">
        <f t="shared" si="0"/>
        <v>221600</v>
      </c>
      <c r="O7" s="12">
        <f>+'[1]LIVREUR INTERNE ETC'!$U7</f>
        <v>220400</v>
      </c>
      <c r="P7" s="12">
        <v>20920</v>
      </c>
      <c r="Q7" s="12">
        <f t="shared" si="1"/>
        <v>462920</v>
      </c>
      <c r="R7" s="11">
        <v>211600</v>
      </c>
      <c r="S7" s="12">
        <f>+'[1]LIVREUR INTERNE ETC'!$R7</f>
        <v>459000</v>
      </c>
      <c r="T7" s="12"/>
      <c r="U7" s="12">
        <f t="shared" si="2"/>
        <v>230400</v>
      </c>
    </row>
    <row r="8" spans="1:21" ht="22.5" customHeight="1">
      <c r="A8" s="10" t="s">
        <v>45</v>
      </c>
      <c r="B8" s="11"/>
      <c r="C8" s="11">
        <v>420</v>
      </c>
      <c r="D8" s="23">
        <v>10</v>
      </c>
      <c r="E8" s="11"/>
      <c r="F8" s="11"/>
      <c r="G8" s="11"/>
      <c r="H8" s="11"/>
      <c r="I8" s="11"/>
      <c r="J8" s="11"/>
      <c r="K8" s="11"/>
      <c r="L8" s="11"/>
      <c r="M8" s="11"/>
      <c r="N8" s="12">
        <f t="shared" si="0"/>
        <v>34600</v>
      </c>
      <c r="O8" s="12">
        <f>+'[1]LIVREUR INTERNE ETC'!$U8</f>
        <v>48515</v>
      </c>
      <c r="P8" s="12">
        <v>0</v>
      </c>
      <c r="Q8" s="12">
        <f t="shared" si="1"/>
        <v>83115</v>
      </c>
      <c r="R8" s="11">
        <v>75000</v>
      </c>
      <c r="S8" s="12">
        <f>+'[1]LIVREUR INTERNE ETC'!$R8</f>
        <v>78000</v>
      </c>
      <c r="T8" s="12"/>
      <c r="U8" s="12">
        <f t="shared" si="2"/>
        <v>8115</v>
      </c>
    </row>
    <row r="9" spans="1:21" ht="22.5" customHeight="1">
      <c r="A9" s="10" t="s">
        <v>41</v>
      </c>
      <c r="B9" s="11"/>
      <c r="C9" s="11"/>
      <c r="D9" s="11"/>
      <c r="E9" s="11"/>
      <c r="F9" s="11"/>
      <c r="G9" s="11">
        <v>212</v>
      </c>
      <c r="H9" s="11"/>
      <c r="I9" s="11"/>
      <c r="J9" s="11"/>
      <c r="K9" s="11"/>
      <c r="L9" s="11"/>
      <c r="M9" s="11"/>
      <c r="N9" s="12">
        <f>+B9*40+C9*80+D9*100+E9*160+F9*40+G9*80+H9*125+I9*160+K9*80+L9*100</f>
        <v>16960</v>
      </c>
      <c r="O9" s="12">
        <f>+'[1]LIVREUR INTERNE ETC'!$U9</f>
        <v>165240</v>
      </c>
      <c r="P9" s="12">
        <v>0</v>
      </c>
      <c r="Q9" s="12">
        <f t="shared" si="1"/>
        <v>182200</v>
      </c>
      <c r="R9" s="11"/>
      <c r="S9" s="12">
        <f>+'[1]LIVREUR INTERNE ETC'!$R9</f>
        <v>53500</v>
      </c>
      <c r="T9" s="12"/>
      <c r="U9" s="12">
        <f t="shared" si="2"/>
        <v>182200</v>
      </c>
    </row>
    <row r="10" spans="1:21" ht="22.5" customHeight="1">
      <c r="A10" s="17" t="s">
        <v>44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2">
        <f>+B10*40+C10*80+D10*100+E10*160+F10*40+G10*80+H10*125+I10*160+K10*80+L10*100</f>
        <v>0</v>
      </c>
      <c r="O10" s="12">
        <f>+'[2]LIVREUR INTERNE ETC'!$U10</f>
        <v>0</v>
      </c>
      <c r="P10" s="12">
        <v>1785760</v>
      </c>
      <c r="Q10" s="12">
        <f t="shared" si="1"/>
        <v>1785760</v>
      </c>
      <c r="R10" s="11"/>
      <c r="S10" s="12">
        <f>+'[2]LIVREUR INTERNE ETC'!$R10</f>
        <v>0</v>
      </c>
      <c r="T10" s="12"/>
      <c r="U10" s="12">
        <f t="shared" si="2"/>
        <v>0</v>
      </c>
    </row>
    <row r="11" spans="1:21" ht="22.5" customHeight="1">
      <c r="A11" s="17" t="s">
        <v>43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2">
        <f>+B11*40+C11*80+D11*100+E11*160+F11*40+G11*80+H11*125+I11*160+K11*80+L11*100</f>
        <v>0</v>
      </c>
      <c r="O11" s="12">
        <f>+'[2]LIVREUR INTERNE ETC'!$U11</f>
        <v>0</v>
      </c>
      <c r="P11" s="12">
        <v>1912780</v>
      </c>
      <c r="Q11" s="12">
        <f t="shared" si="1"/>
        <v>1912780</v>
      </c>
      <c r="R11" s="11"/>
      <c r="S11" s="12">
        <f>+'[2]LIVREUR INTERNE ETC'!$R11</f>
        <v>0</v>
      </c>
      <c r="T11" s="12"/>
      <c r="U11" s="12">
        <f t="shared" si="2"/>
        <v>0</v>
      </c>
    </row>
    <row r="12" spans="1:21" ht="22.5" customHeight="1">
      <c r="A12" s="17" t="s">
        <v>38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2">
        <f>+B12*40+C12*80+D12*100+E12*160+F12*40+G12*80+H12*125+I12*160+K12*80+L12*100</f>
        <v>0</v>
      </c>
      <c r="O12" s="12">
        <f>+'[2]LIVREUR INTERNE ETC'!$U12</f>
        <v>0</v>
      </c>
      <c r="P12" s="12">
        <v>539260</v>
      </c>
      <c r="Q12" s="12">
        <f t="shared" si="1"/>
        <v>539260</v>
      </c>
      <c r="R12" s="11"/>
      <c r="S12" s="12">
        <f>+'[2]LIVREUR INTERNE ETC'!$R12</f>
        <v>0</v>
      </c>
      <c r="T12" s="12"/>
      <c r="U12" s="12">
        <f t="shared" si="2"/>
        <v>0</v>
      </c>
    </row>
    <row r="13" spans="1:21" ht="22.5" customHeight="1">
      <c r="A13" s="17" t="s">
        <v>36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2">
        <f>+B13*40+C13*80+D13*100+E13*160+F13*40+G13*80+H13*125+I13*160+K13*80+L13*100</f>
        <v>0</v>
      </c>
      <c r="O13" s="12">
        <f>+'[2]LIVREUR INTERNE ETC'!$U13</f>
        <v>0</v>
      </c>
      <c r="P13" s="12">
        <v>811420</v>
      </c>
      <c r="Q13" s="12">
        <f t="shared" si="1"/>
        <v>811420</v>
      </c>
      <c r="R13" s="11"/>
      <c r="S13" s="12">
        <f>+'[2]LIVREUR INTERNE ETC'!$R13</f>
        <v>0</v>
      </c>
      <c r="T13" s="12"/>
      <c r="U13" s="12">
        <f t="shared" si="2"/>
        <v>0</v>
      </c>
    </row>
    <row r="14" spans="1:21" s="3" customFormat="1" ht="22.5" customHeight="1">
      <c r="A14" s="18" t="s">
        <v>42</v>
      </c>
      <c r="B14" s="9">
        <f t="shared" ref="B14:R14" si="3">+SUM(B3:B13)</f>
        <v>350</v>
      </c>
      <c r="C14" s="9">
        <f t="shared" si="3"/>
        <v>5735</v>
      </c>
      <c r="D14" s="9">
        <f t="shared" si="3"/>
        <v>10</v>
      </c>
      <c r="E14" s="9">
        <f t="shared" si="3"/>
        <v>285</v>
      </c>
      <c r="F14" s="9">
        <f t="shared" si="3"/>
        <v>0</v>
      </c>
      <c r="G14" s="9">
        <f t="shared" si="3"/>
        <v>2237</v>
      </c>
      <c r="H14" s="9">
        <f t="shared" si="3"/>
        <v>0</v>
      </c>
      <c r="I14" s="9">
        <f t="shared" si="3"/>
        <v>40</v>
      </c>
      <c r="J14" s="9">
        <f t="shared" si="3"/>
        <v>0</v>
      </c>
      <c r="K14" s="9">
        <f t="shared" si="3"/>
        <v>0</v>
      </c>
      <c r="L14" s="9">
        <f t="shared" si="3"/>
        <v>0</v>
      </c>
      <c r="M14" s="9"/>
      <c r="N14" s="9">
        <f t="shared" si="3"/>
        <v>704760</v>
      </c>
      <c r="O14" s="9">
        <f t="shared" si="3"/>
        <v>5965635</v>
      </c>
      <c r="P14" s="9">
        <f t="shared" si="3"/>
        <v>6719615</v>
      </c>
      <c r="Q14" s="9">
        <f t="shared" si="3"/>
        <v>13390010</v>
      </c>
      <c r="R14" s="9">
        <f t="shared" si="3"/>
        <v>461800</v>
      </c>
      <c r="S14" s="9"/>
      <c r="T14" s="9"/>
      <c r="U14" s="9">
        <f>+SUM(U3:U13)</f>
        <v>6208595</v>
      </c>
    </row>
    <row r="15" spans="1:21">
      <c r="A15" s="24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</row>
    <row r="16" spans="1:21">
      <c r="A16" s="24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</row>
    <row r="17" spans="1:21" ht="15" customHeight="1">
      <c r="A17" s="30" t="s">
        <v>59</v>
      </c>
      <c r="B17" s="29" t="s">
        <v>33</v>
      </c>
      <c r="C17" s="29"/>
      <c r="D17" s="29"/>
      <c r="E17" s="29"/>
      <c r="F17" s="29" t="s">
        <v>32</v>
      </c>
      <c r="G17" s="29"/>
      <c r="H17" s="29"/>
      <c r="I17" s="29"/>
      <c r="J17" s="29"/>
      <c r="K17" s="29" t="s">
        <v>6</v>
      </c>
      <c r="L17" s="29" t="s">
        <v>64</v>
      </c>
      <c r="M17" s="32" t="s">
        <v>80</v>
      </c>
      <c r="N17" s="32" t="s">
        <v>8</v>
      </c>
      <c r="O17" s="32" t="s">
        <v>9</v>
      </c>
      <c r="P17" s="32" t="s">
        <v>10</v>
      </c>
      <c r="Q17" s="32" t="s">
        <v>11</v>
      </c>
      <c r="R17" s="32" t="s">
        <v>1</v>
      </c>
      <c r="S17" s="32" t="s">
        <v>46</v>
      </c>
      <c r="T17" s="32" t="s">
        <v>2</v>
      </c>
      <c r="U17" s="32" t="s">
        <v>30</v>
      </c>
    </row>
    <row r="18" spans="1:21" ht="33.75">
      <c r="A18" s="30"/>
      <c r="B18" s="29" t="s">
        <v>60</v>
      </c>
      <c r="C18" s="29"/>
      <c r="D18" s="8" t="s">
        <v>62</v>
      </c>
      <c r="E18" s="25" t="s">
        <v>61</v>
      </c>
      <c r="F18" s="29" t="s">
        <v>60</v>
      </c>
      <c r="G18" s="29"/>
      <c r="H18" s="8" t="s">
        <v>62</v>
      </c>
      <c r="I18" s="8" t="s">
        <v>63</v>
      </c>
      <c r="J18" s="8" t="s">
        <v>5</v>
      </c>
      <c r="K18" s="29"/>
      <c r="L18" s="29"/>
      <c r="M18" s="34"/>
      <c r="N18" s="33"/>
      <c r="O18" s="33"/>
      <c r="P18" s="33"/>
      <c r="Q18" s="33"/>
      <c r="R18" s="33"/>
      <c r="S18" s="33"/>
      <c r="T18" s="33"/>
      <c r="U18" s="33"/>
    </row>
    <row r="19" spans="1:21" s="3" customFormat="1" ht="15">
      <c r="A19" s="30"/>
      <c r="B19" s="9">
        <v>80</v>
      </c>
      <c r="C19" s="9">
        <v>115</v>
      </c>
      <c r="D19" s="9">
        <v>40</v>
      </c>
      <c r="E19" s="9">
        <v>40</v>
      </c>
      <c r="F19" s="9">
        <v>80</v>
      </c>
      <c r="G19" s="9">
        <v>115</v>
      </c>
      <c r="H19" s="9">
        <v>40</v>
      </c>
      <c r="I19" s="9">
        <v>40</v>
      </c>
      <c r="J19" s="9">
        <v>500</v>
      </c>
      <c r="K19" s="9">
        <v>80</v>
      </c>
      <c r="L19" s="25">
        <v>500</v>
      </c>
      <c r="M19" s="25">
        <v>1500</v>
      </c>
      <c r="N19" s="34"/>
      <c r="O19" s="34"/>
      <c r="P19" s="34"/>
      <c r="Q19" s="34"/>
      <c r="R19" s="34"/>
      <c r="S19" s="34"/>
      <c r="T19" s="34"/>
      <c r="U19" s="34"/>
    </row>
    <row r="20" spans="1:21" ht="19.5" customHeight="1">
      <c r="A20" s="30"/>
      <c r="B20" s="11">
        <v>140</v>
      </c>
      <c r="C20" s="11"/>
      <c r="D20" s="11"/>
      <c r="E20" s="11"/>
      <c r="F20" s="11">
        <v>60</v>
      </c>
      <c r="G20" s="11"/>
      <c r="H20" s="11"/>
      <c r="I20" s="11"/>
      <c r="J20" s="11"/>
      <c r="K20" s="11"/>
      <c r="L20" s="11"/>
      <c r="M20" s="11"/>
      <c r="N20" s="12">
        <f>+B20*80+C20*115+D20*40+E20*40+F20*80+G20*115+H20*40+I20*40+K20*80+L20*500+M20*1500+J20*J19</f>
        <v>16000</v>
      </c>
      <c r="O20" s="12">
        <f>+'[1]LIVREUR INTERNE ETC'!$U20</f>
        <v>181405</v>
      </c>
      <c r="P20" s="12">
        <v>10400</v>
      </c>
      <c r="Q20" s="12">
        <f>+SUM(N20:P20)</f>
        <v>207805</v>
      </c>
      <c r="R20" s="11">
        <v>0</v>
      </c>
      <c r="S20" s="12">
        <f>+'[1]LIVREUR INTERNE ETC'!$R20</f>
        <v>55200</v>
      </c>
      <c r="T20" s="12"/>
      <c r="U20" s="12">
        <f>+N20+O20-R20</f>
        <v>197405</v>
      </c>
    </row>
    <row r="21" spans="1:21">
      <c r="A21" s="24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</row>
    <row r="22" spans="1:21">
      <c r="A22" s="24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</row>
    <row r="23" spans="1:21" ht="15" customHeight="1">
      <c r="A23" s="30" t="s">
        <v>65</v>
      </c>
      <c r="B23" s="35" t="s">
        <v>66</v>
      </c>
      <c r="C23" s="36"/>
      <c r="D23" s="36"/>
      <c r="E23" s="36"/>
      <c r="F23" s="36"/>
      <c r="G23" s="36"/>
      <c r="H23" s="36"/>
      <c r="I23" s="36"/>
      <c r="J23" s="37"/>
      <c r="K23" s="29" t="s">
        <v>62</v>
      </c>
      <c r="L23" s="29" t="s">
        <v>74</v>
      </c>
      <c r="M23" s="26"/>
      <c r="N23" s="32" t="s">
        <v>8</v>
      </c>
      <c r="O23" s="32" t="s">
        <v>9</v>
      </c>
      <c r="P23" s="32" t="s">
        <v>10</v>
      </c>
      <c r="Q23" s="32" t="s">
        <v>11</v>
      </c>
      <c r="R23" s="32" t="s">
        <v>1</v>
      </c>
      <c r="S23" s="32" t="s">
        <v>46</v>
      </c>
      <c r="T23" s="32" t="s">
        <v>2</v>
      </c>
      <c r="U23" s="32" t="s">
        <v>30</v>
      </c>
    </row>
    <row r="24" spans="1:21" ht="15" customHeight="1">
      <c r="A24" s="30"/>
      <c r="B24" s="25" t="s">
        <v>67</v>
      </c>
      <c r="C24" s="25" t="s">
        <v>68</v>
      </c>
      <c r="D24" s="8" t="s">
        <v>69</v>
      </c>
      <c r="E24" s="25" t="s">
        <v>70</v>
      </c>
      <c r="F24" s="25" t="s">
        <v>71</v>
      </c>
      <c r="G24" s="25" t="s">
        <v>72</v>
      </c>
      <c r="H24" s="8" t="s">
        <v>73</v>
      </c>
      <c r="I24" s="8" t="s">
        <v>63</v>
      </c>
      <c r="J24" s="8" t="s">
        <v>5</v>
      </c>
      <c r="K24" s="29"/>
      <c r="L24" s="29"/>
      <c r="M24" s="27"/>
      <c r="N24" s="33"/>
      <c r="O24" s="33"/>
      <c r="P24" s="33"/>
      <c r="Q24" s="33"/>
      <c r="R24" s="33"/>
      <c r="S24" s="33"/>
      <c r="T24" s="33"/>
      <c r="U24" s="33"/>
    </row>
    <row r="25" spans="1:21" s="3" customFormat="1" ht="15">
      <c r="A25" s="30"/>
      <c r="B25" s="9">
        <v>80</v>
      </c>
      <c r="C25" s="9">
        <v>160</v>
      </c>
      <c r="D25" s="9">
        <v>350</v>
      </c>
      <c r="E25" s="9">
        <v>80</v>
      </c>
      <c r="F25" s="9">
        <v>80</v>
      </c>
      <c r="G25" s="9">
        <v>40</v>
      </c>
      <c r="H25" s="9">
        <v>40</v>
      </c>
      <c r="I25" s="9">
        <v>40</v>
      </c>
      <c r="J25" s="9"/>
      <c r="K25" s="9">
        <v>40</v>
      </c>
      <c r="L25" s="25">
        <v>80</v>
      </c>
      <c r="M25" s="28"/>
      <c r="N25" s="34"/>
      <c r="O25" s="34"/>
      <c r="P25" s="34"/>
      <c r="Q25" s="34"/>
      <c r="R25" s="34"/>
      <c r="S25" s="34"/>
      <c r="T25" s="34"/>
      <c r="U25" s="34"/>
    </row>
    <row r="26" spans="1:21" ht="21" customHeight="1">
      <c r="A26" s="30"/>
      <c r="B26" s="11">
        <v>0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2">
        <f>+B26*80+C26*160+D26*350+E26*80+F26*80+G26*40+H26*40+I26*40+K26*40+L26*80</f>
        <v>0</v>
      </c>
      <c r="O26" s="12">
        <f>+'[1]LIVREUR INTERNE ETC'!$U26</f>
        <v>6000</v>
      </c>
      <c r="P26" s="12">
        <v>6000</v>
      </c>
      <c r="Q26" s="12">
        <f>+SUM(N26:P26)</f>
        <v>12000</v>
      </c>
      <c r="R26" s="11">
        <v>0</v>
      </c>
      <c r="S26" s="12">
        <f>+'[1]LIVREUR INTERNE ETC'!$R26</f>
        <v>36000</v>
      </c>
      <c r="T26" s="12"/>
      <c r="U26" s="12">
        <f>+N26+O26-R26</f>
        <v>6000</v>
      </c>
    </row>
  </sheetData>
  <mergeCells count="39">
    <mergeCell ref="O23:O25"/>
    <mergeCell ref="T23:T25"/>
    <mergeCell ref="U23:U25"/>
    <mergeCell ref="S17:S19"/>
    <mergeCell ref="T17:T19"/>
    <mergeCell ref="U17:U19"/>
    <mergeCell ref="P23:P25"/>
    <mergeCell ref="Q23:Q25"/>
    <mergeCell ref="R23:R25"/>
    <mergeCell ref="S23:S25"/>
    <mergeCell ref="O17:O19"/>
    <mergeCell ref="P17:P19"/>
    <mergeCell ref="Q17:Q19"/>
    <mergeCell ref="R17:R19"/>
    <mergeCell ref="A23:A26"/>
    <mergeCell ref="K23:K24"/>
    <mergeCell ref="L23:L24"/>
    <mergeCell ref="N23:N25"/>
    <mergeCell ref="B23:J23"/>
    <mergeCell ref="A17:A20"/>
    <mergeCell ref="N17:N19"/>
    <mergeCell ref="K17:K18"/>
    <mergeCell ref="B17:E17"/>
    <mergeCell ref="F17:J17"/>
    <mergeCell ref="F18:G18"/>
    <mergeCell ref="B18:C18"/>
    <mergeCell ref="L17:L18"/>
    <mergeCell ref="M17:M18"/>
    <mergeCell ref="U1:U2"/>
    <mergeCell ref="B1:E1"/>
    <mergeCell ref="A1:A2"/>
    <mergeCell ref="N1:N2"/>
    <mergeCell ref="O1:O2"/>
    <mergeCell ref="P1:P2"/>
    <mergeCell ref="S1:S2"/>
    <mergeCell ref="F1:J1"/>
    <mergeCell ref="T1:T2"/>
    <mergeCell ref="Q1:Q2"/>
    <mergeCell ref="R1:R2"/>
  </mergeCells>
  <pageMargins left="0" right="0" top="0" bottom="0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AGENCE CARREF</vt:lpstr>
      <vt:lpstr>LIVREUR EXTERNE</vt:lpstr>
      <vt:lpstr>LIVREUR INTERNE ETC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PEUPLE HEAD OFFICE</dc:creator>
  <cp:lastModifiedBy>MBELECK</cp:lastModifiedBy>
  <cp:lastPrinted>2026-08-02T23:20:32Z</cp:lastPrinted>
  <dcterms:created xsi:type="dcterms:W3CDTF">2026-07-15T15:57:08Z</dcterms:created>
  <dcterms:modified xsi:type="dcterms:W3CDTF">2026-08-02T23:24:37Z</dcterms:modified>
</cp:coreProperties>
</file>