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1ACE83F1-30FB-4366-AF8C-1070B97B0260}" xr6:coauthVersionLast="47" xr6:coauthVersionMax="47" xr10:uidLastSave="{00000000-0000-0000-0000-000000000000}"/>
  <bookViews>
    <workbookView xWindow="-120" yWindow="-120" windowWidth="29040" windowHeight="15720" activeTab="1" xr2:uid="{5D6EB5DB-6F96-4726-9DA2-64D6A6D9AE60}"/>
  </bookViews>
  <sheets>
    <sheet name="AGENCE CARREF" sheetId="1" r:id="rId1"/>
    <sheet name="LIVREUR EXTERNE" sheetId="2" r:id="rId2"/>
    <sheet name="LIVREUR INTERNE ETC" sheetId="4" r:id="rId3"/>
  </sheets>
  <definedNames>
    <definedName name="_xlnm._FilterDatabase" localSheetId="0" hidden="1">'AGENCE CARREF'!$A$3:$Q$19</definedName>
    <definedName name="_xlnm._FilterDatabase" localSheetId="1" hidden="1">'LIVREUR EXTERNE'!$A$3:$Q$16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9" i="1" s="1"/>
  <c r="M20" i="4"/>
  <c r="M26" i="4"/>
  <c r="T20" i="4"/>
  <c r="P20" i="4"/>
  <c r="J18" i="1"/>
  <c r="J16" i="1"/>
  <c r="J12" i="1"/>
  <c r="J17" i="1"/>
  <c r="J11" i="1"/>
  <c r="J10" i="1"/>
  <c r="J9" i="1"/>
  <c r="J13" i="1"/>
  <c r="J14" i="1"/>
  <c r="J4" i="1"/>
  <c r="J5" i="1"/>
  <c r="J6" i="1"/>
  <c r="J7" i="1"/>
  <c r="J8" i="1"/>
  <c r="J15" i="1"/>
  <c r="C19" i="1"/>
  <c r="D19" i="1"/>
  <c r="E19" i="1"/>
  <c r="F19" i="1"/>
  <c r="G19" i="1"/>
  <c r="H19" i="1"/>
  <c r="I19" i="1"/>
  <c r="K19" i="1"/>
  <c r="L19" i="1"/>
  <c r="O19" i="1"/>
  <c r="B19" i="1"/>
  <c r="M8" i="4"/>
  <c r="M9" i="4"/>
  <c r="M10" i="4"/>
  <c r="M3" i="4"/>
  <c r="M7" i="4"/>
  <c r="M13" i="4"/>
  <c r="M5" i="4"/>
  <c r="M12" i="4"/>
  <c r="M6" i="4"/>
  <c r="M4" i="4"/>
  <c r="M11" i="4"/>
  <c r="C14" i="4"/>
  <c r="D14" i="4"/>
  <c r="E14" i="4"/>
  <c r="F14" i="4"/>
  <c r="G14" i="4"/>
  <c r="H14" i="4"/>
  <c r="I14" i="4"/>
  <c r="J14" i="4"/>
  <c r="K14" i="4"/>
  <c r="L14" i="4"/>
  <c r="N14" i="4"/>
  <c r="O14" i="4"/>
  <c r="Q14" i="4"/>
  <c r="B14" i="4"/>
  <c r="B16" i="2"/>
  <c r="L16" i="2"/>
  <c r="J6" i="2"/>
  <c r="J7" i="2"/>
  <c r="Q7" i="2" s="1"/>
  <c r="J14" i="2"/>
  <c r="K16" i="2"/>
  <c r="N16" i="2"/>
  <c r="C16" i="2"/>
  <c r="D16" i="2"/>
  <c r="E16" i="2"/>
  <c r="F16" i="2"/>
  <c r="G16" i="2"/>
  <c r="H16" i="2"/>
  <c r="I16" i="2"/>
  <c r="J9" i="2"/>
  <c r="J13" i="2"/>
  <c r="J11" i="2"/>
  <c r="M7" i="2"/>
  <c r="J8" i="2"/>
  <c r="J15" i="2"/>
  <c r="J5" i="2"/>
  <c r="J12" i="2"/>
  <c r="J10" i="2"/>
  <c r="J4" i="2"/>
  <c r="Q4" i="2" l="1"/>
  <c r="M14" i="4"/>
  <c r="J19" i="1"/>
  <c r="Q18" i="1"/>
  <c r="M18" i="1"/>
  <c r="Q16" i="1"/>
  <c r="M16" i="1"/>
  <c r="Q12" i="1"/>
  <c r="M12" i="1"/>
  <c r="Q17" i="1"/>
  <c r="M17" i="1"/>
  <c r="Q11" i="1"/>
  <c r="M11" i="1"/>
  <c r="Q10" i="1"/>
  <c r="M10" i="1"/>
  <c r="Q9" i="1"/>
  <c r="M9" i="1"/>
  <c r="Q13" i="1"/>
  <c r="M13" i="1"/>
  <c r="Q14" i="1"/>
  <c r="M14" i="1"/>
  <c r="M4" i="1"/>
  <c r="Q4" i="1"/>
  <c r="M5" i="1"/>
  <c r="Q5" i="1"/>
  <c r="M6" i="1"/>
  <c r="Q6" i="1"/>
  <c r="M7" i="1"/>
  <c r="Q7" i="1"/>
  <c r="M8" i="1"/>
  <c r="Q8" i="1"/>
  <c r="M15" i="1"/>
  <c r="Q15" i="1"/>
  <c r="T26" i="4"/>
  <c r="P26" i="4"/>
  <c r="M6" i="2"/>
  <c r="Q6" i="2"/>
  <c r="M14" i="2"/>
  <c r="Q14" i="2"/>
  <c r="M9" i="2"/>
  <c r="Q9" i="2"/>
  <c r="M13" i="2"/>
  <c r="Q13" i="2"/>
  <c r="M11" i="2"/>
  <c r="Q11" i="2"/>
  <c r="M8" i="2"/>
  <c r="Q8" i="2"/>
  <c r="M15" i="2"/>
  <c r="Q15" i="2"/>
  <c r="M5" i="2"/>
  <c r="Q5" i="2"/>
  <c r="M12" i="2"/>
  <c r="Q12" i="2"/>
  <c r="M10" i="2"/>
  <c r="Q10" i="2"/>
  <c r="P8" i="4"/>
  <c r="T8" i="4"/>
  <c r="T3" i="4"/>
  <c r="P3" i="4"/>
  <c r="T7" i="4"/>
  <c r="P7" i="4"/>
  <c r="T5" i="4"/>
  <c r="P5" i="4"/>
  <c r="T13" i="4"/>
  <c r="P13" i="4"/>
  <c r="T6" i="4"/>
  <c r="P6" i="4"/>
  <c r="T4" i="4"/>
  <c r="P4" i="4"/>
  <c r="T9" i="4"/>
  <c r="P9" i="4"/>
  <c r="T10" i="4"/>
  <c r="P10" i="4"/>
  <c r="T12" i="4"/>
  <c r="P12" i="4"/>
  <c r="T11" i="4"/>
  <c r="P11" i="4"/>
  <c r="M4" i="2"/>
  <c r="M16" i="2" s="1"/>
  <c r="J16" i="2"/>
  <c r="M19" i="1" l="1"/>
  <c r="Q19" i="1"/>
  <c r="Q16" i="2"/>
  <c r="P14" i="4"/>
  <c r="T14" i="4"/>
</calcChain>
</file>

<file path=xl/sharedStrings.xml><?xml version="1.0" encoding="utf-8"?>
<sst xmlns="http://schemas.openxmlformats.org/spreadsheetml/2006/main" count="126" uniqueCount="77">
  <si>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</si>
  <si>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</si>
  <si>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</si>
  <si>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</si>
  <si>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</si>
  <si>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</si>
  <si>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</si>
  <si>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</si>
  <si>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</si>
  <si>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</si>
  <si>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</si>
  <si>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</si>
  <si>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</si>
  <si>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</si>
  <si>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</si>
  <si>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</si>
  <si>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</si>
  <si>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</si>
  <si>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</si>
  <si>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</si>
  <si>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</si>
  <si>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</si>
  <si>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</si>
  <si>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</si>
  <si>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</si>
  <si>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VENTE FOUR NUIT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</si>
  <si>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</si>
  <si>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</si>
  <si>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</si>
  <si>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</si>
  <si>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</si>
  <si>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</si>
  <si>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</si>
  <si>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</si>
  <si>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</si>
  <si>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</si>
  <si>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</si>
  <si>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</si>
  <si>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</si>
  <si>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</si>
  <si>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</si>
  <si>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</si>
  <si>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</si>
  <si>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</si>
  <si>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</si>
  <si>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</si>
  <si>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</si>
  <si>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</si>
  <si>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</si>
  <si>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VICTORINE GAKOU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</si>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</sst>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14" fontId="10" fillId="0" borderId="0" xfId="1" applyNumberFormat="1" applyFont="1" applyAlignment="1">
      <alignment horizontal="left"/>
    </xf>
    <xf numFmtId="164" fontId="6" fillId="3" borderId="1" xfId="1" applyNumberFormat="1" applyFont="1" applyFill="1" applyBorder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9" fillId="0" borderId="0" xfId="1" applyNumberFormat="1" applyFont="1" applyAlignment="1">
      <alignment horizontal="right"/>
    </xf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14" fontId="10" fillId="0" borderId="0" xfId="1" applyNumberFormat="1" applyFont="1" applyAlignment="1" applyProtection="1">
      <alignment horizontal="left"/>
      <protection locked="0"/>
    </xf>
    <xf numFmtId="164" fontId="5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8" xfId="1" applyNumberFormat="1" applyFont="1" applyBorder="1" applyAlignment="1">
      <alignment horizontal="center"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9" xfId="1" applyNumberFormat="1" applyFont="1" applyBorder="1" applyAlignment="1">
      <alignment horizontal="center" vertical="center" wrapText="1"/>
    </xf>
    <xf numFmtId="164" fontId="5" fillId="0" borderId="8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9" xfId="1" applyNumberFormat="1" applyFont="1" applyBorder="1" applyAlignment="1">
      <alignment horizontal="center" vertical="center" wrapText="1"/>
    </xf>
    <xf numFmtId="164" fontId="2" fillId="0" borderId="8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2246-A011-4C2E-9E3A-7B91EF226BFE}">
  <dimension ref="A2:Q19"/>
  <sheetViews>
    <sheetView workbookViewId="0">
      <selection activeCell="O10" sqref="O10"/>
    </sheetView>
  </sheetViews>
  <sheetFormatPr baseColWidth="10" defaultRowHeight="15" x14ac:dyDescent="0.25"/>
  <cols>
    <col min="1" max="1" width="19.42578125" bestFit="1" customWidth="1"/>
    <col min="2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41" t="s">
        <v>54</v>
      </c>
      <c r="B2" s="40" t="s">
        <v>7</v>
      </c>
      <c r="C2" s="40"/>
      <c r="D2" s="40"/>
      <c r="E2" s="40"/>
      <c r="F2" s="40"/>
      <c r="G2" s="40"/>
      <c r="H2" s="3" t="s">
        <v>6</v>
      </c>
      <c r="I2" s="13" t="s">
        <v>32</v>
      </c>
      <c r="J2" s="40" t="s">
        <v>8</v>
      </c>
      <c r="K2" s="39" t="s">
        <v>9</v>
      </c>
      <c r="L2" s="39" t="s">
        <v>10</v>
      </c>
      <c r="M2" s="39" t="s">
        <v>11</v>
      </c>
      <c r="N2" s="38" t="s">
        <v>1</v>
      </c>
      <c r="O2" s="39" t="s">
        <v>47</v>
      </c>
      <c r="P2" s="38" t="s">
        <v>2</v>
      </c>
      <c r="Q2" s="40" t="s">
        <v>31</v>
      </c>
    </row>
    <row r="3" spans="1:17" ht="15" customHeight="1" x14ac:dyDescent="0.25">
      <c r="A3" s="41"/>
      <c r="B3" s="3">
        <v>40</v>
      </c>
      <c r="C3" s="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40"/>
      <c r="K3" s="39"/>
      <c r="L3" s="39"/>
      <c r="M3" s="39"/>
      <c r="N3" s="38"/>
      <c r="O3" s="39"/>
      <c r="P3" s="38"/>
      <c r="Q3" s="40"/>
    </row>
    <row r="4" spans="1:17" x14ac:dyDescent="0.25">
      <c r="A4" s="4" t="s">
        <v>55</v>
      </c>
      <c r="B4" s="34"/>
      <c r="C4" s="34">
        <v>110</v>
      </c>
      <c r="D4" s="34">
        <v>300</v>
      </c>
      <c r="E4" s="34">
        <v>29</v>
      </c>
      <c r="F4" s="34"/>
      <c r="G4" s="34"/>
      <c r="H4" s="34"/>
      <c r="I4" s="34"/>
      <c r="J4" s="5">
        <f t="shared" ref="J4:J18" si="0">+B4*40+C4*80+D4*100+E4*160+F4*125+H4*80+I4*100</f>
        <v>43440</v>
      </c>
      <c r="K4" s="5">
        <v>0</v>
      </c>
      <c r="L4" s="5">
        <v>0</v>
      </c>
      <c r="M4" s="5">
        <f t="shared" ref="M4:M18" si="1">+J4+K4+L4</f>
        <v>43440</v>
      </c>
      <c r="N4" s="34">
        <v>43700</v>
      </c>
      <c r="O4" s="5"/>
      <c r="P4" s="5"/>
      <c r="Q4" s="5">
        <f t="shared" ref="Q4:Q18" si="2">+J4+K4-N4</f>
        <v>-260</v>
      </c>
    </row>
    <row r="5" spans="1:17" x14ac:dyDescent="0.25">
      <c r="A5" s="4" t="s">
        <v>56</v>
      </c>
      <c r="B5" s="34"/>
      <c r="C5" s="34">
        <v>940</v>
      </c>
      <c r="D5" s="34">
        <v>500</v>
      </c>
      <c r="E5" s="34">
        <v>3</v>
      </c>
      <c r="F5" s="34"/>
      <c r="G5" s="34"/>
      <c r="H5" s="34"/>
      <c r="I5" s="34"/>
      <c r="J5" s="5">
        <f t="shared" si="0"/>
        <v>125680</v>
      </c>
      <c r="K5" s="5">
        <v>0</v>
      </c>
      <c r="L5" s="5">
        <v>0</v>
      </c>
      <c r="M5" s="5">
        <f t="shared" si="1"/>
        <v>125680</v>
      </c>
      <c r="N5" s="34"/>
      <c r="O5" s="5"/>
      <c r="P5" s="5"/>
      <c r="Q5" s="5">
        <f t="shared" si="2"/>
        <v>125680</v>
      </c>
    </row>
    <row r="6" spans="1:17" x14ac:dyDescent="0.25">
      <c r="A6" s="4" t="s">
        <v>57</v>
      </c>
      <c r="B6" s="34"/>
      <c r="C6" s="34"/>
      <c r="D6" s="34"/>
      <c r="E6" s="34"/>
      <c r="F6" s="34"/>
      <c r="G6" s="34"/>
      <c r="H6" s="34"/>
      <c r="I6" s="34"/>
      <c r="J6" s="5">
        <f t="shared" si="0"/>
        <v>0</v>
      </c>
      <c r="K6" s="5">
        <v>0</v>
      </c>
      <c r="L6" s="5">
        <v>0</v>
      </c>
      <c r="M6" s="5">
        <f t="shared" si="1"/>
        <v>0</v>
      </c>
      <c r="N6" s="34">
        <v>22300</v>
      </c>
      <c r="O6" s="5"/>
      <c r="P6" s="5"/>
      <c r="Q6" s="5">
        <f t="shared" si="2"/>
        <v>-22300</v>
      </c>
    </row>
    <row r="7" spans="1:17" x14ac:dyDescent="0.25">
      <c r="A7" s="4" t="s">
        <v>58</v>
      </c>
      <c r="B7" s="34"/>
      <c r="C7" s="34"/>
      <c r="D7" s="34"/>
      <c r="E7" s="34"/>
      <c r="F7" s="34"/>
      <c r="G7" s="34"/>
      <c r="H7" s="34"/>
      <c r="I7" s="34"/>
      <c r="J7" s="5">
        <f t="shared" si="0"/>
        <v>0</v>
      </c>
      <c r="K7" s="5">
        <v>0</v>
      </c>
      <c r="L7" s="5">
        <v>0</v>
      </c>
      <c r="M7" s="5">
        <f t="shared" si="1"/>
        <v>0</v>
      </c>
      <c r="N7" s="34">
        <v>40000</v>
      </c>
      <c r="O7" s="5"/>
      <c r="P7" s="5"/>
      <c r="Q7" s="5">
        <f t="shared" si="2"/>
        <v>-40000</v>
      </c>
    </row>
    <row r="8" spans="1:17" x14ac:dyDescent="0.25">
      <c r="A8" s="4" t="s">
        <v>59</v>
      </c>
      <c r="B8" s="34"/>
      <c r="C8" s="34"/>
      <c r="D8" s="34"/>
      <c r="E8" s="34"/>
      <c r="F8" s="34"/>
      <c r="G8" s="34"/>
      <c r="H8" s="34"/>
      <c r="I8" s="34"/>
      <c r="J8" s="5">
        <f t="shared" si="0"/>
        <v>0</v>
      </c>
      <c r="K8" s="5">
        <v>0</v>
      </c>
      <c r="L8" s="5">
        <v>0</v>
      </c>
      <c r="M8" s="5">
        <f t="shared" si="1"/>
        <v>0</v>
      </c>
      <c r="N8" s="34">
        <v>18000</v>
      </c>
      <c r="O8" s="5"/>
      <c r="P8" s="5"/>
      <c r="Q8" s="5">
        <f t="shared" si="2"/>
        <v>-18000</v>
      </c>
    </row>
    <row r="9" spans="1:17" x14ac:dyDescent="0.25">
      <c r="A9" s="4" t="s">
        <v>23</v>
      </c>
      <c r="B9" s="34"/>
      <c r="C9" s="34"/>
      <c r="D9" s="34"/>
      <c r="E9" s="34"/>
      <c r="F9" s="34"/>
      <c r="G9" s="34"/>
      <c r="H9" s="34"/>
      <c r="I9" s="34"/>
      <c r="J9" s="5">
        <f t="shared" si="0"/>
        <v>0</v>
      </c>
      <c r="K9" s="5">
        <v>0</v>
      </c>
      <c r="L9" s="5">
        <v>0</v>
      </c>
      <c r="M9" s="5">
        <f t="shared" si="1"/>
        <v>0</v>
      </c>
      <c r="N9" s="34"/>
      <c r="O9" s="5"/>
      <c r="P9" s="5"/>
      <c r="Q9" s="5">
        <f t="shared" si="2"/>
        <v>0</v>
      </c>
    </row>
    <row r="10" spans="1:17" x14ac:dyDescent="0.25">
      <c r="A10" s="4" t="s">
        <v>53</v>
      </c>
      <c r="B10" s="34"/>
      <c r="C10" s="34">
        <v>100</v>
      </c>
      <c r="D10" s="34"/>
      <c r="E10" s="34"/>
      <c r="F10" s="34"/>
      <c r="G10" s="34"/>
      <c r="H10" s="34"/>
      <c r="I10" s="34"/>
      <c r="J10" s="5">
        <f t="shared" si="0"/>
        <v>8000</v>
      </c>
      <c r="K10" s="5">
        <v>0</v>
      </c>
      <c r="L10" s="5">
        <v>0</v>
      </c>
      <c r="M10" s="5">
        <f t="shared" si="1"/>
        <v>8000</v>
      </c>
      <c r="N10" s="34">
        <v>8000</v>
      </c>
      <c r="O10" s="5"/>
      <c r="P10" s="5"/>
      <c r="Q10" s="5">
        <f t="shared" si="2"/>
        <v>0</v>
      </c>
    </row>
    <row r="11" spans="1:17" x14ac:dyDescent="0.25">
      <c r="A11" s="4" t="s">
        <v>26</v>
      </c>
      <c r="B11" s="34"/>
      <c r="C11" s="34"/>
      <c r="D11" s="34"/>
      <c r="E11" s="34"/>
      <c r="F11" s="34"/>
      <c r="G11" s="34"/>
      <c r="H11" s="34"/>
      <c r="I11" s="34"/>
      <c r="J11" s="5">
        <f t="shared" si="0"/>
        <v>0</v>
      </c>
      <c r="K11" s="5">
        <v>0</v>
      </c>
      <c r="L11" s="5">
        <v>0</v>
      </c>
      <c r="M11" s="5">
        <f t="shared" si="1"/>
        <v>0</v>
      </c>
      <c r="N11" s="34"/>
      <c r="O11" s="5"/>
      <c r="P11" s="5"/>
      <c r="Q11" s="5">
        <f t="shared" si="2"/>
        <v>0</v>
      </c>
    </row>
    <row r="12" spans="1:17" x14ac:dyDescent="0.25">
      <c r="A12" s="4" t="s">
        <v>51</v>
      </c>
      <c r="B12" s="34"/>
      <c r="C12" s="34">
        <v>150</v>
      </c>
      <c r="D12" s="34"/>
      <c r="E12" s="34">
        <v>50</v>
      </c>
      <c r="F12" s="34"/>
      <c r="G12" s="34"/>
      <c r="H12" s="34"/>
      <c r="I12" s="34"/>
      <c r="J12" s="5">
        <f t="shared" si="0"/>
        <v>20000</v>
      </c>
      <c r="K12" s="5">
        <v>0</v>
      </c>
      <c r="L12" s="5">
        <v>1500</v>
      </c>
      <c r="M12" s="5">
        <f t="shared" si="1"/>
        <v>21500</v>
      </c>
      <c r="N12" s="34">
        <v>20000</v>
      </c>
      <c r="O12" s="5"/>
      <c r="P12" s="5"/>
      <c r="Q12" s="5">
        <f t="shared" si="2"/>
        <v>0</v>
      </c>
    </row>
    <row r="13" spans="1:17" x14ac:dyDescent="0.25">
      <c r="A13" s="4" t="s">
        <v>24</v>
      </c>
      <c r="B13" s="34"/>
      <c r="C13" s="34">
        <v>1440</v>
      </c>
      <c r="D13" s="34"/>
      <c r="E13" s="34"/>
      <c r="F13" s="34"/>
      <c r="G13" s="34"/>
      <c r="H13" s="34"/>
      <c r="I13" s="34"/>
      <c r="J13" s="5">
        <f t="shared" si="0"/>
        <v>115200</v>
      </c>
      <c r="K13" s="5">
        <v>0</v>
      </c>
      <c r="L13" s="5">
        <v>0</v>
      </c>
      <c r="M13" s="5">
        <f t="shared" si="1"/>
        <v>115200</v>
      </c>
      <c r="N13" s="34">
        <v>115200</v>
      </c>
      <c r="O13" s="5"/>
      <c r="P13" s="5"/>
      <c r="Q13" s="5">
        <f t="shared" si="2"/>
        <v>0</v>
      </c>
    </row>
    <row r="14" spans="1:17" x14ac:dyDescent="0.25">
      <c r="A14" s="4" t="s">
        <v>25</v>
      </c>
      <c r="B14" s="34"/>
      <c r="C14" s="34">
        <v>310</v>
      </c>
      <c r="D14" s="34"/>
      <c r="E14" s="34"/>
      <c r="F14" s="34"/>
      <c r="G14" s="34"/>
      <c r="H14" s="34"/>
      <c r="I14" s="34"/>
      <c r="J14" s="5">
        <f t="shared" si="0"/>
        <v>24800</v>
      </c>
      <c r="K14" s="5">
        <v>0</v>
      </c>
      <c r="L14" s="5">
        <v>0</v>
      </c>
      <c r="M14" s="5">
        <f t="shared" si="1"/>
        <v>24800</v>
      </c>
      <c r="N14" s="34">
        <f>30000+24800</f>
        <v>54800</v>
      </c>
      <c r="O14" s="5"/>
      <c r="P14" s="5"/>
      <c r="Q14" s="5">
        <f t="shared" si="2"/>
        <v>-30000</v>
      </c>
    </row>
    <row r="15" spans="1:17" x14ac:dyDescent="0.25">
      <c r="A15" s="6" t="s">
        <v>48</v>
      </c>
      <c r="B15" s="34"/>
      <c r="C15" s="34"/>
      <c r="D15" s="34"/>
      <c r="E15" s="34"/>
      <c r="F15" s="34"/>
      <c r="G15" s="34"/>
      <c r="H15" s="34"/>
      <c r="I15" s="34"/>
      <c r="J15" s="5">
        <f t="shared" si="0"/>
        <v>0</v>
      </c>
      <c r="K15" s="5">
        <v>0</v>
      </c>
      <c r="L15" s="5">
        <v>10400</v>
      </c>
      <c r="M15" s="5">
        <f t="shared" si="1"/>
        <v>10400</v>
      </c>
      <c r="N15" s="34"/>
      <c r="O15" s="5"/>
      <c r="P15" s="5"/>
      <c r="Q15" s="5">
        <f t="shared" si="2"/>
        <v>0</v>
      </c>
    </row>
    <row r="16" spans="1:17" x14ac:dyDescent="0.25">
      <c r="A16" s="6" t="s">
        <v>50</v>
      </c>
      <c r="B16" s="34"/>
      <c r="C16" s="34"/>
      <c r="D16" s="34"/>
      <c r="E16" s="34"/>
      <c r="F16" s="34"/>
      <c r="G16" s="34"/>
      <c r="H16" s="34"/>
      <c r="I16" s="34"/>
      <c r="J16" s="5">
        <f t="shared" si="0"/>
        <v>0</v>
      </c>
      <c r="K16" s="5">
        <v>6400</v>
      </c>
      <c r="L16" s="5">
        <v>11200</v>
      </c>
      <c r="M16" s="5">
        <f t="shared" si="1"/>
        <v>17600</v>
      </c>
      <c r="N16" s="34"/>
      <c r="O16" s="5"/>
      <c r="P16" s="5"/>
      <c r="Q16" s="5">
        <f t="shared" si="2"/>
        <v>6400</v>
      </c>
    </row>
    <row r="17" spans="1:17" x14ac:dyDescent="0.25">
      <c r="A17" s="6" t="s">
        <v>52</v>
      </c>
      <c r="B17" s="34"/>
      <c r="C17" s="34"/>
      <c r="D17" s="34"/>
      <c r="E17" s="34"/>
      <c r="F17" s="34"/>
      <c r="G17" s="34"/>
      <c r="H17" s="34"/>
      <c r="I17" s="34"/>
      <c r="J17" s="5">
        <f t="shared" si="0"/>
        <v>0</v>
      </c>
      <c r="K17" s="5">
        <v>0</v>
      </c>
      <c r="L17" s="5">
        <v>42100</v>
      </c>
      <c r="M17" s="5">
        <f t="shared" si="1"/>
        <v>42100</v>
      </c>
      <c r="N17" s="34"/>
      <c r="O17" s="5"/>
      <c r="P17" s="5"/>
      <c r="Q17" s="5">
        <f t="shared" si="2"/>
        <v>0</v>
      </c>
    </row>
    <row r="18" spans="1:17" x14ac:dyDescent="0.25">
      <c r="A18" s="6" t="s">
        <v>49</v>
      </c>
      <c r="B18" s="34"/>
      <c r="C18" s="34"/>
      <c r="D18" s="34"/>
      <c r="E18" s="34"/>
      <c r="F18" s="34"/>
      <c r="G18" s="34"/>
      <c r="H18" s="34"/>
      <c r="I18" s="34"/>
      <c r="J18" s="5">
        <f t="shared" si="0"/>
        <v>0</v>
      </c>
      <c r="K18" s="5">
        <v>0</v>
      </c>
      <c r="L18" s="5">
        <v>24000</v>
      </c>
      <c r="M18" s="5">
        <f t="shared" si="1"/>
        <v>24000</v>
      </c>
      <c r="N18" s="34">
        <v>24000</v>
      </c>
      <c r="O18" s="5"/>
      <c r="P18" s="5"/>
      <c r="Q18" s="5">
        <f t="shared" si="2"/>
        <v>-24000</v>
      </c>
    </row>
    <row r="19" spans="1:17" s="10" customFormat="1" x14ac:dyDescent="0.25">
      <c r="A19" s="8" t="s">
        <v>60</v>
      </c>
      <c r="B19" s="9">
        <f>+SUM(B4:B18)</f>
        <v>0</v>
      </c>
      <c r="C19" s="9">
        <f t="shared" ref="C19:Q19" si="3">+SUM(C4:C18)</f>
        <v>3050</v>
      </c>
      <c r="D19" s="9">
        <f t="shared" si="3"/>
        <v>800</v>
      </c>
      <c r="E19" s="9">
        <f t="shared" si="3"/>
        <v>82</v>
      </c>
      <c r="F19" s="9">
        <f t="shared" si="3"/>
        <v>0</v>
      </c>
      <c r="G19" s="9">
        <f t="shared" si="3"/>
        <v>0</v>
      </c>
      <c r="H19" s="9">
        <f t="shared" si="3"/>
        <v>0</v>
      </c>
      <c r="I19" s="9">
        <f t="shared" si="3"/>
        <v>0</v>
      </c>
      <c r="J19" s="9">
        <f t="shared" si="3"/>
        <v>337120</v>
      </c>
      <c r="K19" s="9">
        <f t="shared" si="3"/>
        <v>6400</v>
      </c>
      <c r="L19" s="9">
        <f t="shared" si="3"/>
        <v>89200</v>
      </c>
      <c r="M19" s="9">
        <f t="shared" si="3"/>
        <v>432720</v>
      </c>
      <c r="N19" s="9">
        <f t="shared" si="3"/>
        <v>346000</v>
      </c>
      <c r="O19" s="9">
        <f t="shared" si="3"/>
        <v>0</v>
      </c>
      <c r="P19" s="9"/>
      <c r="Q19" s="9">
        <f t="shared" si="3"/>
        <v>-2480</v>
      </c>
    </row>
  </sheetData>
  <sheetProtection algorithmName="SHA-512" hashValue="YbVEPMe0ydubbRotofqZfXI3g+FJVAk5mTnz6mcjirbEqQqA4LHgC8kxknxSLVprBT0LDLsKO81RGipJEsS7fw==" saltValue="KU+QuptU4UUGm1kjukEkEg==" spinCount="100000" sheet="1" objects="1" scenarios="1"/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" right="0" top="0" bottom="0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DA16-7FE0-4C5A-A533-75E901102AF0}">
  <dimension ref="A1:Q18"/>
  <sheetViews>
    <sheetView tabSelected="1" workbookViewId="0">
      <selection activeCell="J5" sqref="J5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2" bestFit="1" customWidth="1"/>
    <col min="13" max="13" width="11.7109375" style="22" bestFit="1" customWidth="1"/>
    <col min="14" max="14" width="9.5703125" style="28" bestFit="1" customWidth="1"/>
    <col min="15" max="15" width="8.85546875" style="28" customWidth="1"/>
    <col min="16" max="16" width="6.5703125" style="18" customWidth="1"/>
    <col min="17" max="17" width="12" bestFit="1" customWidth="1"/>
  </cols>
  <sheetData>
    <row r="1" spans="1:17" ht="15.75" x14ac:dyDescent="0.25">
      <c r="A1" s="44" t="s">
        <v>28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29" t="s">
        <v>29</v>
      </c>
      <c r="N1" s="37">
        <v>46218</v>
      </c>
      <c r="O1" s="23"/>
    </row>
    <row r="2" spans="1:17" s="1" customFormat="1" x14ac:dyDescent="0.25">
      <c r="A2" s="41" t="s">
        <v>0</v>
      </c>
      <c r="B2" s="40" t="s">
        <v>7</v>
      </c>
      <c r="C2" s="40"/>
      <c r="D2" s="40"/>
      <c r="E2" s="40"/>
      <c r="F2" s="40"/>
      <c r="G2" s="40"/>
      <c r="H2" s="3" t="s">
        <v>6</v>
      </c>
      <c r="I2" s="13" t="s">
        <v>32</v>
      </c>
      <c r="J2" s="40" t="s">
        <v>8</v>
      </c>
      <c r="K2" s="40" t="s">
        <v>9</v>
      </c>
      <c r="L2" s="39" t="s">
        <v>10</v>
      </c>
      <c r="M2" s="39" t="s">
        <v>11</v>
      </c>
      <c r="N2" s="38" t="s">
        <v>1</v>
      </c>
      <c r="O2" s="45" t="s">
        <v>47</v>
      </c>
      <c r="P2" s="43" t="s">
        <v>2</v>
      </c>
      <c r="Q2" s="42" t="s">
        <v>31</v>
      </c>
    </row>
    <row r="3" spans="1:17" s="1" customFormat="1" ht="30" x14ac:dyDescent="0.25">
      <c r="A3" s="41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40"/>
      <c r="K3" s="40"/>
      <c r="L3" s="39"/>
      <c r="M3" s="39"/>
      <c r="N3" s="38"/>
      <c r="O3" s="46"/>
      <c r="P3" s="43"/>
      <c r="Q3" s="42"/>
    </row>
    <row r="4" spans="1:17" x14ac:dyDescent="0.25">
      <c r="A4" s="4" t="s">
        <v>12</v>
      </c>
      <c r="B4" s="34"/>
      <c r="C4" s="34">
        <v>270</v>
      </c>
      <c r="D4" s="34">
        <v>313</v>
      </c>
      <c r="E4" s="34">
        <v>3</v>
      </c>
      <c r="F4" s="34"/>
      <c r="G4" s="34"/>
      <c r="H4" s="34"/>
      <c r="I4" s="34"/>
      <c r="J4" s="5">
        <f t="shared" ref="J4:J15" si="0">+B4*40+C4*75+D4*100+E4*160+F4*160+H4*80+I4*100</f>
        <v>52030</v>
      </c>
      <c r="K4" s="5">
        <v>366080</v>
      </c>
      <c r="L4" s="19">
        <v>2003045</v>
      </c>
      <c r="M4" s="19">
        <f t="shared" ref="M4:M15" si="1">+SUM(J4:L4)</f>
        <v>2421155</v>
      </c>
      <c r="N4" s="32">
        <v>52000</v>
      </c>
      <c r="O4" s="16"/>
      <c r="P4" s="17"/>
      <c r="Q4" s="11">
        <f>+J4+K4-N4</f>
        <v>366110</v>
      </c>
    </row>
    <row r="5" spans="1:17" x14ac:dyDescent="0.25">
      <c r="A5" s="4" t="s">
        <v>19</v>
      </c>
      <c r="B5" s="34"/>
      <c r="C5" s="34">
        <v>370</v>
      </c>
      <c r="D5" s="34">
        <v>50</v>
      </c>
      <c r="E5" s="34"/>
      <c r="F5" s="34"/>
      <c r="G5" s="34"/>
      <c r="H5" s="34"/>
      <c r="I5" s="34"/>
      <c r="J5" s="5">
        <f t="shared" si="0"/>
        <v>32750</v>
      </c>
      <c r="K5" s="5">
        <v>357340</v>
      </c>
      <c r="L5" s="19">
        <v>833780</v>
      </c>
      <c r="M5" s="19">
        <f t="shared" si="1"/>
        <v>1223870</v>
      </c>
      <c r="N5" s="32">
        <v>64000</v>
      </c>
      <c r="O5" s="16"/>
      <c r="P5" s="17"/>
      <c r="Q5" s="11">
        <f t="shared" ref="Q5:Q15" si="2">+J5+K5-N5</f>
        <v>326090</v>
      </c>
    </row>
    <row r="6" spans="1:17" x14ac:dyDescent="0.25">
      <c r="A6" s="4" t="s">
        <v>27</v>
      </c>
      <c r="B6" s="34"/>
      <c r="C6" s="34">
        <v>1150</v>
      </c>
      <c r="D6" s="34">
        <v>400</v>
      </c>
      <c r="E6" s="34">
        <v>5</v>
      </c>
      <c r="F6" s="34"/>
      <c r="G6" s="34"/>
      <c r="H6" s="34"/>
      <c r="I6" s="34"/>
      <c r="J6" s="5">
        <f t="shared" si="0"/>
        <v>127050</v>
      </c>
      <c r="K6" s="5">
        <v>358425</v>
      </c>
      <c r="L6" s="19">
        <v>1466430</v>
      </c>
      <c r="M6" s="19">
        <f t="shared" si="1"/>
        <v>1951905</v>
      </c>
      <c r="N6" s="32"/>
      <c r="O6" s="16"/>
      <c r="P6" s="17"/>
      <c r="Q6" s="11">
        <f t="shared" si="2"/>
        <v>485475</v>
      </c>
    </row>
    <row r="7" spans="1:17" x14ac:dyDescent="0.25">
      <c r="A7" s="4" t="s">
        <v>15</v>
      </c>
      <c r="B7" s="34"/>
      <c r="C7" s="34">
        <v>510</v>
      </c>
      <c r="D7" s="34">
        <v>650</v>
      </c>
      <c r="E7" s="34">
        <v>5</v>
      </c>
      <c r="F7" s="34"/>
      <c r="G7" s="34"/>
      <c r="H7" s="34"/>
      <c r="I7" s="34"/>
      <c r="J7" s="5">
        <f t="shared" si="0"/>
        <v>104050</v>
      </c>
      <c r="K7" s="5">
        <v>470725</v>
      </c>
      <c r="L7" s="19">
        <v>1897085</v>
      </c>
      <c r="M7" s="19">
        <f t="shared" si="1"/>
        <v>2471860</v>
      </c>
      <c r="N7" s="32">
        <v>104050</v>
      </c>
      <c r="O7" s="16"/>
      <c r="P7" s="17"/>
      <c r="Q7" s="11">
        <f t="shared" si="2"/>
        <v>470725</v>
      </c>
    </row>
    <row r="8" spans="1:17" x14ac:dyDescent="0.25">
      <c r="A8" s="4" t="s">
        <v>17</v>
      </c>
      <c r="B8" s="34"/>
      <c r="C8" s="34">
        <v>630</v>
      </c>
      <c r="D8" s="34">
        <v>750</v>
      </c>
      <c r="E8" s="34"/>
      <c r="F8" s="34"/>
      <c r="G8" s="34"/>
      <c r="H8" s="34"/>
      <c r="I8" s="34"/>
      <c r="J8" s="5">
        <f t="shared" si="0"/>
        <v>122250</v>
      </c>
      <c r="K8" s="5">
        <v>482020</v>
      </c>
      <c r="L8" s="19">
        <v>1412040</v>
      </c>
      <c r="M8" s="19">
        <f t="shared" si="1"/>
        <v>2016310</v>
      </c>
      <c r="N8" s="32">
        <v>122000</v>
      </c>
      <c r="O8" s="16"/>
      <c r="P8" s="17"/>
      <c r="Q8" s="11">
        <f t="shared" si="2"/>
        <v>482270</v>
      </c>
    </row>
    <row r="9" spans="1:17" x14ac:dyDescent="0.25">
      <c r="A9" s="4" t="s">
        <v>30</v>
      </c>
      <c r="B9" s="34">
        <v>100</v>
      </c>
      <c r="C9" s="34">
        <v>780</v>
      </c>
      <c r="D9" s="34">
        <v>680</v>
      </c>
      <c r="E9" s="34">
        <v>10</v>
      </c>
      <c r="F9" s="34"/>
      <c r="G9" s="34"/>
      <c r="H9" s="34"/>
      <c r="I9" s="34"/>
      <c r="J9" s="5">
        <f t="shared" si="0"/>
        <v>132100</v>
      </c>
      <c r="K9" s="5">
        <v>450590</v>
      </c>
      <c r="L9" s="19">
        <v>2175630</v>
      </c>
      <c r="M9" s="19">
        <f t="shared" si="1"/>
        <v>2758320</v>
      </c>
      <c r="N9" s="32">
        <v>64000</v>
      </c>
      <c r="O9" s="16"/>
      <c r="P9" s="17"/>
      <c r="Q9" s="11">
        <f t="shared" si="2"/>
        <v>518690</v>
      </c>
    </row>
    <row r="10" spans="1:17" x14ac:dyDescent="0.25">
      <c r="A10" s="4" t="s">
        <v>21</v>
      </c>
      <c r="B10" s="34"/>
      <c r="C10" s="34">
        <v>710</v>
      </c>
      <c r="D10" s="34">
        <v>600</v>
      </c>
      <c r="E10" s="34">
        <v>25</v>
      </c>
      <c r="F10" s="34"/>
      <c r="G10" s="34"/>
      <c r="H10" s="34"/>
      <c r="I10" s="34"/>
      <c r="J10" s="5">
        <f t="shared" si="0"/>
        <v>117250</v>
      </c>
      <c r="K10" s="5">
        <v>211410</v>
      </c>
      <c r="L10" s="19">
        <v>1337940</v>
      </c>
      <c r="M10" s="19">
        <f t="shared" si="1"/>
        <v>1666600</v>
      </c>
      <c r="N10" s="32">
        <v>122750</v>
      </c>
      <c r="O10" s="16"/>
      <c r="P10" s="17"/>
      <c r="Q10" s="11">
        <f t="shared" si="2"/>
        <v>205910</v>
      </c>
    </row>
    <row r="11" spans="1:17" x14ac:dyDescent="0.25">
      <c r="A11" s="4" t="s">
        <v>14</v>
      </c>
      <c r="B11" s="35"/>
      <c r="C11" s="35">
        <v>530</v>
      </c>
      <c r="D11" s="35">
        <v>665</v>
      </c>
      <c r="E11" s="35">
        <v>19</v>
      </c>
      <c r="F11" s="35"/>
      <c r="G11" s="35"/>
      <c r="H11" s="35"/>
      <c r="I11" s="35"/>
      <c r="J11" s="7">
        <f t="shared" si="0"/>
        <v>109290</v>
      </c>
      <c r="K11" s="7">
        <v>215525</v>
      </c>
      <c r="L11" s="20">
        <v>582810</v>
      </c>
      <c r="M11" s="20">
        <f t="shared" si="1"/>
        <v>907625</v>
      </c>
      <c r="N11" s="36">
        <v>106500</v>
      </c>
      <c r="O11" s="24"/>
      <c r="P11" s="25"/>
      <c r="Q11" s="11">
        <f t="shared" si="2"/>
        <v>218315</v>
      </c>
    </row>
    <row r="12" spans="1:17" x14ac:dyDescent="0.25">
      <c r="A12" s="6" t="s">
        <v>20</v>
      </c>
      <c r="B12" s="35"/>
      <c r="C12" s="35"/>
      <c r="D12" s="35"/>
      <c r="E12" s="35"/>
      <c r="F12" s="35"/>
      <c r="G12" s="35"/>
      <c r="H12" s="35"/>
      <c r="I12" s="35"/>
      <c r="J12" s="7">
        <f t="shared" si="0"/>
        <v>0</v>
      </c>
      <c r="K12" s="7">
        <v>0</v>
      </c>
      <c r="L12" s="20">
        <v>467850</v>
      </c>
      <c r="M12" s="20">
        <f t="shared" si="1"/>
        <v>467850</v>
      </c>
      <c r="N12" s="36"/>
      <c r="O12" s="24"/>
      <c r="P12" s="25"/>
      <c r="Q12" s="11">
        <f t="shared" si="2"/>
        <v>0</v>
      </c>
    </row>
    <row r="13" spans="1:17" x14ac:dyDescent="0.25">
      <c r="A13" s="6" t="s">
        <v>13</v>
      </c>
      <c r="B13" s="35"/>
      <c r="C13" s="35"/>
      <c r="D13" s="35"/>
      <c r="E13" s="35"/>
      <c r="F13" s="35"/>
      <c r="G13" s="35"/>
      <c r="H13" s="35"/>
      <c r="I13" s="35"/>
      <c r="J13" s="7">
        <f t="shared" si="0"/>
        <v>0</v>
      </c>
      <c r="K13" s="7">
        <v>0</v>
      </c>
      <c r="L13" s="20">
        <v>249900</v>
      </c>
      <c r="M13" s="20">
        <f t="shared" si="1"/>
        <v>249900</v>
      </c>
      <c r="N13" s="36"/>
      <c r="O13" s="24"/>
      <c r="P13" s="25"/>
      <c r="Q13" s="11">
        <f t="shared" si="2"/>
        <v>0</v>
      </c>
    </row>
    <row r="14" spans="1:17" x14ac:dyDescent="0.25">
      <c r="A14" s="6" t="s">
        <v>16</v>
      </c>
      <c r="B14" s="35"/>
      <c r="C14" s="35"/>
      <c r="D14" s="35"/>
      <c r="E14" s="35"/>
      <c r="F14" s="35"/>
      <c r="G14" s="35"/>
      <c r="H14" s="35"/>
      <c r="I14" s="35"/>
      <c r="J14" s="7">
        <f t="shared" si="0"/>
        <v>0</v>
      </c>
      <c r="K14" s="7">
        <v>0</v>
      </c>
      <c r="L14" s="20">
        <v>541770</v>
      </c>
      <c r="M14" s="20">
        <f t="shared" si="1"/>
        <v>541770</v>
      </c>
      <c r="N14" s="36"/>
      <c r="O14" s="24"/>
      <c r="P14" s="25"/>
      <c r="Q14" s="11">
        <f t="shared" si="2"/>
        <v>0</v>
      </c>
    </row>
    <row r="15" spans="1:17" x14ac:dyDescent="0.25">
      <c r="A15" s="6" t="s">
        <v>18</v>
      </c>
      <c r="B15" s="35"/>
      <c r="C15" s="35"/>
      <c r="D15" s="35"/>
      <c r="E15" s="35"/>
      <c r="F15" s="35"/>
      <c r="G15" s="35"/>
      <c r="H15" s="35"/>
      <c r="I15" s="35"/>
      <c r="J15" s="7">
        <f t="shared" si="0"/>
        <v>0</v>
      </c>
      <c r="K15" s="7">
        <v>0</v>
      </c>
      <c r="L15" s="20">
        <v>499585</v>
      </c>
      <c r="M15" s="20">
        <f t="shared" si="1"/>
        <v>499585</v>
      </c>
      <c r="N15" s="36"/>
      <c r="O15" s="24"/>
      <c r="P15" s="25"/>
      <c r="Q15" s="11">
        <f t="shared" si="2"/>
        <v>0</v>
      </c>
    </row>
    <row r="16" spans="1:17" s="10" customFormat="1" x14ac:dyDescent="0.25">
      <c r="A16" s="8" t="s">
        <v>22</v>
      </c>
      <c r="B16" s="9">
        <f t="shared" ref="B16:N16" si="3">+SUM(B4:B15)</f>
        <v>100</v>
      </c>
      <c r="C16" s="9">
        <f t="shared" si="3"/>
        <v>4950</v>
      </c>
      <c r="D16" s="9">
        <f t="shared" si="3"/>
        <v>4108</v>
      </c>
      <c r="E16" s="9">
        <f t="shared" si="3"/>
        <v>67</v>
      </c>
      <c r="F16" s="9">
        <f t="shared" si="3"/>
        <v>0</v>
      </c>
      <c r="G16" s="9">
        <f t="shared" si="3"/>
        <v>0</v>
      </c>
      <c r="H16" s="9">
        <f t="shared" si="3"/>
        <v>0</v>
      </c>
      <c r="I16" s="9">
        <f t="shared" si="3"/>
        <v>0</v>
      </c>
      <c r="J16" s="9">
        <f t="shared" si="3"/>
        <v>796770</v>
      </c>
      <c r="K16" s="9">
        <f t="shared" si="3"/>
        <v>2912115</v>
      </c>
      <c r="L16" s="21">
        <f t="shared" si="3"/>
        <v>13467865</v>
      </c>
      <c r="M16" s="21">
        <f t="shared" si="3"/>
        <v>17176750</v>
      </c>
      <c r="N16" s="26">
        <f t="shared" si="3"/>
        <v>635300</v>
      </c>
      <c r="O16" s="26"/>
      <c r="P16" s="27"/>
      <c r="Q16" s="12">
        <f>+SUM(Q4:Q15)</f>
        <v>3073585</v>
      </c>
    </row>
    <row r="18" ht="15" customHeight="1" x14ac:dyDescent="0.25"/>
  </sheetData>
  <sheetProtection algorithmName="SHA-512" hashValue="X1junfOAsR/GImhVUwdzeqT96lYrguwg51NJO2j/tc7Q7SC+1QnDSeRt8mqh4QOvKDMqilwH88hwSSeCA+IP2A==" saltValue="xjE6/ayiEC8D7tWm5Zgtaw==" spinCount="100000" sheet="1" objects="1" scenarios="1"/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868F-61A7-45CE-BE88-A9CC4C776CEF}">
  <dimension ref="A1:T26"/>
  <sheetViews>
    <sheetView workbookViewId="0">
      <selection activeCell="Q17" sqref="Q17:Q19"/>
    </sheetView>
  </sheetViews>
  <sheetFormatPr baseColWidth="10" defaultRowHeight="15" x14ac:dyDescent="0.25"/>
  <cols>
    <col min="1" max="1" width="23" customWidth="1"/>
    <col min="2" max="2" width="4.7109375" style="28" bestFit="1" customWidth="1"/>
    <col min="3" max="3" width="5.85546875" style="28" bestFit="1" customWidth="1"/>
    <col min="4" max="5" width="4.7109375" style="28" bestFit="1" customWidth="1"/>
    <col min="6" max="6" width="4.42578125" style="28" bestFit="1" customWidth="1"/>
    <col min="7" max="7" width="4.7109375" style="28" bestFit="1" customWidth="1"/>
    <col min="8" max="8" width="4.85546875" style="28" bestFit="1" customWidth="1"/>
    <col min="9" max="9" width="4.42578125" style="28" bestFit="1" customWidth="1"/>
    <col min="10" max="10" width="5.7109375" style="28" bestFit="1" customWidth="1"/>
    <col min="11" max="11" width="4.42578125" style="28" bestFit="1" customWidth="1"/>
    <col min="12" max="12" width="6" style="28" bestFit="1" customWidth="1"/>
    <col min="13" max="13" width="8.42578125" style="22" bestFit="1" customWidth="1"/>
    <col min="14" max="14" width="10.42578125" style="22" customWidth="1"/>
    <col min="15" max="15" width="10.28515625" style="22" bestFit="1" customWidth="1"/>
    <col min="16" max="16" width="12" style="22" customWidth="1"/>
    <col min="17" max="17" width="9.140625" style="28" bestFit="1" customWidth="1"/>
    <col min="18" max="18" width="8.140625" style="28" customWidth="1"/>
    <col min="19" max="19" width="7.140625" style="28" customWidth="1"/>
    <col min="20" max="20" width="12.5703125" style="2" customWidth="1"/>
  </cols>
  <sheetData>
    <row r="1" spans="1:20" s="14" customFormat="1" ht="15" customHeight="1" x14ac:dyDescent="0.25">
      <c r="A1" s="41" t="s">
        <v>0</v>
      </c>
      <c r="B1" s="38" t="s">
        <v>34</v>
      </c>
      <c r="C1" s="38"/>
      <c r="D1" s="38"/>
      <c r="E1" s="38"/>
      <c r="F1" s="38" t="s">
        <v>33</v>
      </c>
      <c r="G1" s="38"/>
      <c r="H1" s="38"/>
      <c r="I1" s="38"/>
      <c r="J1" s="38"/>
      <c r="K1" s="15" t="s">
        <v>6</v>
      </c>
      <c r="L1" s="15" t="s">
        <v>32</v>
      </c>
      <c r="M1" s="39" t="s">
        <v>8</v>
      </c>
      <c r="N1" s="39" t="s">
        <v>9</v>
      </c>
      <c r="O1" s="39" t="s">
        <v>10</v>
      </c>
      <c r="P1" s="39" t="s">
        <v>11</v>
      </c>
      <c r="Q1" s="38" t="s">
        <v>1</v>
      </c>
      <c r="R1" s="38" t="s">
        <v>47</v>
      </c>
      <c r="S1" s="38" t="s">
        <v>2</v>
      </c>
      <c r="T1" s="40" t="s">
        <v>31</v>
      </c>
    </row>
    <row r="2" spans="1:20" s="14" customFormat="1" x14ac:dyDescent="0.25">
      <c r="A2" s="41"/>
      <c r="B2" s="15">
        <v>40</v>
      </c>
      <c r="C2" s="15">
        <v>80</v>
      </c>
      <c r="D2" s="15">
        <v>100</v>
      </c>
      <c r="E2" s="15">
        <v>160</v>
      </c>
      <c r="F2" s="15">
        <v>40</v>
      </c>
      <c r="G2" s="15">
        <v>80</v>
      </c>
      <c r="H2" s="15">
        <v>125</v>
      </c>
      <c r="I2" s="15">
        <v>160</v>
      </c>
      <c r="J2" s="15" t="s">
        <v>5</v>
      </c>
      <c r="K2" s="15">
        <v>80</v>
      </c>
      <c r="L2" s="15">
        <v>100</v>
      </c>
      <c r="M2" s="39"/>
      <c r="N2" s="39"/>
      <c r="O2" s="39"/>
      <c r="P2" s="39"/>
      <c r="Q2" s="38"/>
      <c r="R2" s="38"/>
      <c r="S2" s="38"/>
      <c r="T2" s="40"/>
    </row>
    <row r="3" spans="1:20" x14ac:dyDescent="0.25">
      <c r="A3" s="4" t="s">
        <v>35</v>
      </c>
      <c r="B3" s="32"/>
      <c r="C3" s="32">
        <v>920</v>
      </c>
      <c r="D3" s="32"/>
      <c r="E3" s="32"/>
      <c r="F3" s="32"/>
      <c r="G3" s="32">
        <v>450</v>
      </c>
      <c r="H3" s="32"/>
      <c r="I3" s="32"/>
      <c r="J3" s="32"/>
      <c r="K3" s="32"/>
      <c r="L3" s="32"/>
      <c r="M3" s="19">
        <f>+B3*40+C3*80+D3*100+E3*160+F3*40+G3*80+H3*125+I3*160+K3*80+L3*100</f>
        <v>109600</v>
      </c>
      <c r="N3" s="19">
        <v>3312710</v>
      </c>
      <c r="O3" s="19">
        <v>295950</v>
      </c>
      <c r="P3" s="19">
        <f t="shared" ref="P3:P13" si="0">+M3+N3+O3</f>
        <v>3718260</v>
      </c>
      <c r="Q3" s="32">
        <v>0</v>
      </c>
      <c r="R3" s="16"/>
      <c r="S3" s="16"/>
      <c r="T3" s="5">
        <f t="shared" ref="T3:T13" si="1">+M3+N3-Q3</f>
        <v>3422310</v>
      </c>
    </row>
    <row r="4" spans="1:20" x14ac:dyDescent="0.25">
      <c r="A4" s="4" t="s">
        <v>41</v>
      </c>
      <c r="B4" s="32"/>
      <c r="C4" s="32">
        <v>55</v>
      </c>
      <c r="D4" s="32"/>
      <c r="E4" s="32"/>
      <c r="F4" s="32"/>
      <c r="G4" s="32"/>
      <c r="H4" s="32"/>
      <c r="I4" s="32"/>
      <c r="J4" s="32"/>
      <c r="K4" s="32"/>
      <c r="L4" s="32"/>
      <c r="M4" s="19">
        <f>+B4*40+C4*80+D4*100+E4*160+F4*40+G4*80+H4*125+I4*160+K4*80+L4*100</f>
        <v>4400</v>
      </c>
      <c r="N4" s="19">
        <v>266085</v>
      </c>
      <c r="O4" s="19">
        <v>476485</v>
      </c>
      <c r="P4" s="19">
        <f t="shared" si="0"/>
        <v>746970</v>
      </c>
      <c r="Q4" s="32">
        <v>0</v>
      </c>
      <c r="R4" s="16"/>
      <c r="S4" s="16"/>
      <c r="T4" s="5">
        <f t="shared" si="1"/>
        <v>270485</v>
      </c>
    </row>
    <row r="5" spans="1:20" x14ac:dyDescent="0.25">
      <c r="A5" s="4" t="s">
        <v>38</v>
      </c>
      <c r="B5" s="32"/>
      <c r="C5" s="32">
        <v>505</v>
      </c>
      <c r="D5" s="32"/>
      <c r="E5" s="32"/>
      <c r="F5" s="32"/>
      <c r="G5" s="32"/>
      <c r="H5" s="32"/>
      <c r="I5" s="32"/>
      <c r="J5" s="32"/>
      <c r="K5" s="32"/>
      <c r="L5" s="32"/>
      <c r="M5" s="19">
        <f>+B5*40+C5*80+D5*100+E5*160+F5*40+G5*80+H5*125+I5*160+K5*80+L5*100</f>
        <v>40400</v>
      </c>
      <c r="N5" s="19">
        <v>1389400</v>
      </c>
      <c r="O5" s="19">
        <v>91600</v>
      </c>
      <c r="P5" s="19">
        <f t="shared" si="0"/>
        <v>1521400</v>
      </c>
      <c r="Q5" s="32">
        <v>37500</v>
      </c>
      <c r="R5" s="16"/>
      <c r="S5" s="16"/>
      <c r="T5" s="5">
        <f t="shared" si="1"/>
        <v>1392300</v>
      </c>
    </row>
    <row r="6" spans="1:20" x14ac:dyDescent="0.25">
      <c r="A6" s="4" t="s">
        <v>40</v>
      </c>
      <c r="B6" s="32">
        <v>250</v>
      </c>
      <c r="C6" s="32">
        <v>1270</v>
      </c>
      <c r="D6" s="32">
        <v>10</v>
      </c>
      <c r="E6" s="32">
        <v>45</v>
      </c>
      <c r="F6" s="32"/>
      <c r="G6" s="32">
        <v>450</v>
      </c>
      <c r="H6" s="32"/>
      <c r="I6" s="32"/>
      <c r="J6" s="32"/>
      <c r="K6" s="32"/>
      <c r="L6" s="32"/>
      <c r="M6" s="19">
        <f>+B6*40+C6*80+D6*100+E6*160+F6*40+G6*80+H6*125+I6*160+K6*80+L6*100</f>
        <v>155800</v>
      </c>
      <c r="N6" s="19">
        <v>969505</v>
      </c>
      <c r="O6" s="19">
        <v>785440</v>
      </c>
      <c r="P6" s="19">
        <f t="shared" si="0"/>
        <v>1910745</v>
      </c>
      <c r="Q6" s="32"/>
      <c r="R6" s="16"/>
      <c r="S6" s="16"/>
      <c r="T6" s="5">
        <f t="shared" si="1"/>
        <v>1125305</v>
      </c>
    </row>
    <row r="7" spans="1:20" x14ac:dyDescent="0.25">
      <c r="A7" s="4" t="s">
        <v>36</v>
      </c>
      <c r="B7" s="32"/>
      <c r="C7" s="32">
        <v>1525</v>
      </c>
      <c r="D7" s="32"/>
      <c r="E7" s="32">
        <v>175</v>
      </c>
      <c r="F7" s="32"/>
      <c r="G7" s="32">
        <v>500</v>
      </c>
      <c r="H7" s="32"/>
      <c r="I7" s="32"/>
      <c r="J7" s="32"/>
      <c r="K7" s="32"/>
      <c r="L7" s="32"/>
      <c r="M7" s="19">
        <f>+B7*40+C7*80+D7*100+E7*160+F7*40+G7*80+H7*125+I7*160+K7*80+L7*100</f>
        <v>190000</v>
      </c>
      <c r="N7" s="19">
        <v>403420</v>
      </c>
      <c r="O7" s="19">
        <v>20920</v>
      </c>
      <c r="P7" s="19">
        <f t="shared" si="0"/>
        <v>614340</v>
      </c>
      <c r="Q7" s="32">
        <v>225500</v>
      </c>
      <c r="R7" s="16"/>
      <c r="S7" s="16"/>
      <c r="T7" s="5">
        <f t="shared" si="1"/>
        <v>367920</v>
      </c>
    </row>
    <row r="8" spans="1:20" x14ac:dyDescent="0.25">
      <c r="A8" s="4" t="s">
        <v>46</v>
      </c>
      <c r="B8" s="32"/>
      <c r="C8" s="32">
        <v>425</v>
      </c>
      <c r="D8" s="33"/>
      <c r="E8" s="32"/>
      <c r="F8" s="32"/>
      <c r="G8" s="32">
        <v>573</v>
      </c>
      <c r="H8" s="32"/>
      <c r="I8" s="32"/>
      <c r="J8" s="32"/>
      <c r="K8" s="32"/>
      <c r="L8" s="32"/>
      <c r="M8" s="19">
        <f t="shared" ref="M8:M9" si="2">+B8*40+C8*80+D8*100+E8*160+F8*40+G8*80+H8*125+I8*160+K8*80+L8*100</f>
        <v>79840</v>
      </c>
      <c r="N8" s="19">
        <v>0</v>
      </c>
      <c r="O8" s="19">
        <v>0</v>
      </c>
      <c r="P8" s="19">
        <f t="shared" si="0"/>
        <v>79840</v>
      </c>
      <c r="Q8" s="32">
        <v>74000</v>
      </c>
      <c r="R8" s="16"/>
      <c r="S8" s="16"/>
      <c r="T8" s="5">
        <f t="shared" si="1"/>
        <v>5840</v>
      </c>
    </row>
    <row r="9" spans="1:20" x14ac:dyDescent="0.25">
      <c r="A9" s="4" t="s">
        <v>42</v>
      </c>
      <c r="B9" s="32"/>
      <c r="C9" s="32">
        <v>242</v>
      </c>
      <c r="D9" s="32">
        <v>15</v>
      </c>
      <c r="E9" s="32"/>
      <c r="F9" s="32"/>
      <c r="G9" s="32">
        <v>220</v>
      </c>
      <c r="H9" s="32"/>
      <c r="I9" s="32"/>
      <c r="J9" s="32"/>
      <c r="K9" s="32"/>
      <c r="L9" s="32"/>
      <c r="M9" s="19">
        <f t="shared" si="2"/>
        <v>38460</v>
      </c>
      <c r="N9" s="19">
        <v>50500</v>
      </c>
      <c r="O9" s="19">
        <v>0</v>
      </c>
      <c r="P9" s="19">
        <f t="shared" si="0"/>
        <v>88960</v>
      </c>
      <c r="Q9" s="32">
        <v>34000</v>
      </c>
      <c r="R9" s="16"/>
      <c r="S9" s="16"/>
      <c r="T9" s="5">
        <f t="shared" si="1"/>
        <v>54960</v>
      </c>
    </row>
    <row r="10" spans="1:20" x14ac:dyDescent="0.25">
      <c r="A10" s="6" t="s">
        <v>45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19">
        <f>+B10*40+C10*80+D10*100+E10*160+F10*40+G10*80+H10*125+I10*160+K10*80+L10*100</f>
        <v>0</v>
      </c>
      <c r="N10" s="19">
        <v>0</v>
      </c>
      <c r="O10" s="19">
        <v>1785760</v>
      </c>
      <c r="P10" s="19">
        <f t="shared" si="0"/>
        <v>1785760</v>
      </c>
      <c r="Q10" s="32"/>
      <c r="R10" s="16"/>
      <c r="S10" s="16"/>
      <c r="T10" s="5">
        <f t="shared" si="1"/>
        <v>0</v>
      </c>
    </row>
    <row r="11" spans="1:20" x14ac:dyDescent="0.25">
      <c r="A11" s="6" t="s">
        <v>44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19">
        <f>+B11*40+C11*80+D11*100+E11*160+F11*40+G11*80+H11*125+I11*160+K11*80+L11*100</f>
        <v>0</v>
      </c>
      <c r="N11" s="19">
        <v>0</v>
      </c>
      <c r="O11" s="19">
        <v>1912780</v>
      </c>
      <c r="P11" s="19">
        <f t="shared" si="0"/>
        <v>1912780</v>
      </c>
      <c r="Q11" s="32"/>
      <c r="R11" s="16"/>
      <c r="S11" s="16"/>
      <c r="T11" s="5">
        <f t="shared" si="1"/>
        <v>0</v>
      </c>
    </row>
    <row r="12" spans="1:20" x14ac:dyDescent="0.25">
      <c r="A12" s="6" t="s">
        <v>39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19">
        <f>+B12*40+C12*80+D12*100+E12*160+F12*40+G12*80+H12*125+I12*160+K12*80+L12*100</f>
        <v>0</v>
      </c>
      <c r="N12" s="19">
        <v>0</v>
      </c>
      <c r="O12" s="19">
        <v>539260</v>
      </c>
      <c r="P12" s="19">
        <f t="shared" si="0"/>
        <v>539260</v>
      </c>
      <c r="Q12" s="32"/>
      <c r="R12" s="16"/>
      <c r="S12" s="16"/>
      <c r="T12" s="5">
        <f t="shared" si="1"/>
        <v>0</v>
      </c>
    </row>
    <row r="13" spans="1:20" x14ac:dyDescent="0.25">
      <c r="A13" s="6" t="s">
        <v>37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19">
        <f>+B13*40+C13*80+D13*100+E13*160+F13*40+G13*80+H13*125+I13*160+K13*80+L13*100</f>
        <v>0</v>
      </c>
      <c r="N13" s="19">
        <v>0</v>
      </c>
      <c r="O13" s="19">
        <v>811420</v>
      </c>
      <c r="P13" s="19">
        <f t="shared" si="0"/>
        <v>811420</v>
      </c>
      <c r="Q13" s="32"/>
      <c r="R13" s="16"/>
      <c r="S13" s="16"/>
      <c r="T13" s="5">
        <f t="shared" si="1"/>
        <v>0</v>
      </c>
    </row>
    <row r="14" spans="1:20" s="10" customFormat="1" x14ac:dyDescent="0.25">
      <c r="A14" s="8" t="s">
        <v>43</v>
      </c>
      <c r="B14" s="26">
        <f t="shared" ref="B14:Q14" si="3">+SUM(B3:B13)</f>
        <v>250</v>
      </c>
      <c r="C14" s="26">
        <f t="shared" si="3"/>
        <v>4942</v>
      </c>
      <c r="D14" s="26">
        <f t="shared" si="3"/>
        <v>25</v>
      </c>
      <c r="E14" s="26">
        <f t="shared" si="3"/>
        <v>220</v>
      </c>
      <c r="F14" s="26">
        <f t="shared" si="3"/>
        <v>0</v>
      </c>
      <c r="G14" s="26">
        <f t="shared" si="3"/>
        <v>2193</v>
      </c>
      <c r="H14" s="26">
        <f t="shared" si="3"/>
        <v>0</v>
      </c>
      <c r="I14" s="26">
        <f t="shared" si="3"/>
        <v>0</v>
      </c>
      <c r="J14" s="26">
        <f t="shared" si="3"/>
        <v>0</v>
      </c>
      <c r="K14" s="26">
        <f t="shared" si="3"/>
        <v>0</v>
      </c>
      <c r="L14" s="26">
        <f t="shared" si="3"/>
        <v>0</v>
      </c>
      <c r="M14" s="21">
        <f t="shared" si="3"/>
        <v>618500</v>
      </c>
      <c r="N14" s="21">
        <f t="shared" si="3"/>
        <v>6391620</v>
      </c>
      <c r="O14" s="21">
        <f t="shared" si="3"/>
        <v>6719615</v>
      </c>
      <c r="P14" s="21">
        <f t="shared" si="3"/>
        <v>13729735</v>
      </c>
      <c r="Q14" s="26">
        <f t="shared" si="3"/>
        <v>371000</v>
      </c>
      <c r="R14" s="26"/>
      <c r="S14" s="26"/>
      <c r="T14" s="9">
        <f>+SUM(T3:T13)</f>
        <v>6639120</v>
      </c>
    </row>
    <row r="17" spans="1:20" ht="15" customHeight="1" x14ac:dyDescent="0.25">
      <c r="A17" s="51" t="s">
        <v>61</v>
      </c>
      <c r="B17" s="38" t="s">
        <v>34</v>
      </c>
      <c r="C17" s="38"/>
      <c r="D17" s="38"/>
      <c r="E17" s="38"/>
      <c r="F17" s="38" t="s">
        <v>33</v>
      </c>
      <c r="G17" s="38"/>
      <c r="H17" s="38"/>
      <c r="I17" s="38"/>
      <c r="J17" s="38"/>
      <c r="K17" s="38" t="s">
        <v>6</v>
      </c>
      <c r="L17" s="38" t="s">
        <v>66</v>
      </c>
      <c r="M17" s="45" t="s">
        <v>8</v>
      </c>
      <c r="N17" s="45" t="s">
        <v>9</v>
      </c>
      <c r="O17" s="45" t="s">
        <v>10</v>
      </c>
      <c r="P17" s="45" t="s">
        <v>11</v>
      </c>
      <c r="Q17" s="48" t="s">
        <v>1</v>
      </c>
      <c r="R17" s="48" t="s">
        <v>47</v>
      </c>
      <c r="S17" s="48" t="s">
        <v>2</v>
      </c>
      <c r="T17" s="55" t="s">
        <v>31</v>
      </c>
    </row>
    <row r="18" spans="1:20" x14ac:dyDescent="0.25">
      <c r="A18" s="51"/>
      <c r="B18" s="38" t="s">
        <v>62</v>
      </c>
      <c r="C18" s="38"/>
      <c r="D18" s="30" t="s">
        <v>64</v>
      </c>
      <c r="E18" s="31" t="s">
        <v>63</v>
      </c>
      <c r="F18" s="38" t="s">
        <v>62</v>
      </c>
      <c r="G18" s="38"/>
      <c r="H18" s="15" t="s">
        <v>64</v>
      </c>
      <c r="I18" s="15" t="s">
        <v>65</v>
      </c>
      <c r="J18" s="15" t="s">
        <v>5</v>
      </c>
      <c r="K18" s="38"/>
      <c r="L18" s="38"/>
      <c r="M18" s="47"/>
      <c r="N18" s="47"/>
      <c r="O18" s="47"/>
      <c r="P18" s="47"/>
      <c r="Q18" s="49"/>
      <c r="R18" s="49"/>
      <c r="S18" s="49"/>
      <c r="T18" s="56"/>
    </row>
    <row r="19" spans="1:20" s="10" customFormat="1" x14ac:dyDescent="0.25">
      <c r="A19" s="51"/>
      <c r="B19" s="26">
        <v>80</v>
      </c>
      <c r="C19" s="26">
        <v>115</v>
      </c>
      <c r="D19" s="26">
        <v>40</v>
      </c>
      <c r="E19" s="26">
        <v>40</v>
      </c>
      <c r="F19" s="26">
        <v>80</v>
      </c>
      <c r="G19" s="26">
        <v>115</v>
      </c>
      <c r="H19" s="26">
        <v>40</v>
      </c>
      <c r="I19" s="26">
        <v>40</v>
      </c>
      <c r="J19" s="26"/>
      <c r="K19" s="26">
        <v>80</v>
      </c>
      <c r="L19" s="31">
        <v>500</v>
      </c>
      <c r="M19" s="46"/>
      <c r="N19" s="46"/>
      <c r="O19" s="46"/>
      <c r="P19" s="46"/>
      <c r="Q19" s="50"/>
      <c r="R19" s="50"/>
      <c r="S19" s="50"/>
      <c r="T19" s="57"/>
    </row>
    <row r="20" spans="1:20" x14ac:dyDescent="0.25">
      <c r="A20" s="51"/>
      <c r="B20" s="32">
        <v>120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19">
        <f>+B20*80+C20*115+D20*40+E20*40+F20*80+G20*115+H20*40+I20*40+K20*80+L20*500</f>
        <v>9600</v>
      </c>
      <c r="N20" s="19">
        <v>152785</v>
      </c>
      <c r="O20" s="19">
        <v>10400</v>
      </c>
      <c r="P20" s="19">
        <f>+SUM(M20:O20)</f>
        <v>172785</v>
      </c>
      <c r="Q20" s="32">
        <v>13600</v>
      </c>
      <c r="R20" s="16"/>
      <c r="S20" s="16"/>
      <c r="T20" s="5">
        <f>+M20+N20-Q20</f>
        <v>148785</v>
      </c>
    </row>
    <row r="23" spans="1:20" ht="15" customHeight="1" x14ac:dyDescent="0.25">
      <c r="A23" s="51" t="s">
        <v>67</v>
      </c>
      <c r="B23" s="52" t="s">
        <v>68</v>
      </c>
      <c r="C23" s="53"/>
      <c r="D23" s="53"/>
      <c r="E23" s="53"/>
      <c r="F23" s="53"/>
      <c r="G23" s="53"/>
      <c r="H23" s="53"/>
      <c r="I23" s="53"/>
      <c r="J23" s="54"/>
      <c r="K23" s="38" t="s">
        <v>64</v>
      </c>
      <c r="L23" s="38" t="s">
        <v>76</v>
      </c>
      <c r="M23" s="45" t="s">
        <v>8</v>
      </c>
      <c r="N23" s="45" t="s">
        <v>9</v>
      </c>
      <c r="O23" s="45" t="s">
        <v>10</v>
      </c>
      <c r="P23" s="45" t="s">
        <v>11</v>
      </c>
      <c r="Q23" s="48" t="s">
        <v>1</v>
      </c>
      <c r="R23" s="48" t="s">
        <v>47</v>
      </c>
      <c r="S23" s="48" t="s">
        <v>2</v>
      </c>
      <c r="T23" s="55" t="s">
        <v>31</v>
      </c>
    </row>
    <row r="24" spans="1:20" ht="15" customHeight="1" x14ac:dyDescent="0.25">
      <c r="A24" s="51"/>
      <c r="B24" s="31" t="s">
        <v>69</v>
      </c>
      <c r="C24" s="31" t="s">
        <v>70</v>
      </c>
      <c r="D24" s="30" t="s">
        <v>71</v>
      </c>
      <c r="E24" s="31" t="s">
        <v>72</v>
      </c>
      <c r="F24" s="31" t="s">
        <v>73</v>
      </c>
      <c r="G24" s="31" t="s">
        <v>74</v>
      </c>
      <c r="H24" s="30" t="s">
        <v>75</v>
      </c>
      <c r="I24" s="15" t="s">
        <v>65</v>
      </c>
      <c r="J24" s="15" t="s">
        <v>5</v>
      </c>
      <c r="K24" s="38"/>
      <c r="L24" s="38"/>
      <c r="M24" s="47"/>
      <c r="N24" s="47"/>
      <c r="O24" s="47"/>
      <c r="P24" s="47"/>
      <c r="Q24" s="49"/>
      <c r="R24" s="49"/>
      <c r="S24" s="49"/>
      <c r="T24" s="56"/>
    </row>
    <row r="25" spans="1:20" s="10" customFormat="1" x14ac:dyDescent="0.25">
      <c r="A25" s="51"/>
      <c r="B25" s="26">
        <v>80</v>
      </c>
      <c r="C25" s="26">
        <v>160</v>
      </c>
      <c r="D25" s="26">
        <v>350</v>
      </c>
      <c r="E25" s="26">
        <v>80</v>
      </c>
      <c r="F25" s="26">
        <v>80</v>
      </c>
      <c r="G25" s="26">
        <v>40</v>
      </c>
      <c r="H25" s="26">
        <v>40</v>
      </c>
      <c r="I25" s="26">
        <v>40</v>
      </c>
      <c r="J25" s="26"/>
      <c r="K25" s="26">
        <v>40</v>
      </c>
      <c r="L25" s="31">
        <v>80</v>
      </c>
      <c r="M25" s="46"/>
      <c r="N25" s="46"/>
      <c r="O25" s="46"/>
      <c r="P25" s="46"/>
      <c r="Q25" s="50"/>
      <c r="R25" s="50"/>
      <c r="S25" s="50"/>
      <c r="T25" s="57"/>
    </row>
    <row r="26" spans="1:20" x14ac:dyDescent="0.25">
      <c r="A26" s="51"/>
      <c r="B26" s="32">
        <v>0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19">
        <f>+B26*80+C26*115+D26*40+E26*40+F26*80+G26*115+H26*40+I26*40+K26*40+L26*500</f>
        <v>0</v>
      </c>
      <c r="N26" s="19">
        <v>26000</v>
      </c>
      <c r="O26" s="19">
        <v>6000</v>
      </c>
      <c r="P26" s="19">
        <f>+SUM(M26:O26)</f>
        <v>32000</v>
      </c>
      <c r="Q26" s="32"/>
      <c r="R26" s="16"/>
      <c r="S26" s="16"/>
      <c r="T26" s="5">
        <f>+M26+N26-Q26</f>
        <v>26000</v>
      </c>
    </row>
  </sheetData>
  <sheetProtection algorithmName="SHA-512" hashValue="WX5nT5VqjHEk6BlM96h4v4AAwVin1nqBleLcYpcwbL1piR4AeJpoi/Akwx9XxKzi1ydvjkOVBIZJZf2XPT462A==" saltValue="GbYatFA710ys3ic7L37seA==" spinCount="100000" sheet="1" objects="1" scenarios="1"/>
  <mergeCells count="38"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A23:A26"/>
    <mergeCell ref="K23:K24"/>
    <mergeCell ref="L23:L24"/>
    <mergeCell ref="M23:M25"/>
    <mergeCell ref="B23:J23"/>
    <mergeCell ref="N17:N19"/>
    <mergeCell ref="O17:O19"/>
    <mergeCell ref="P17:P19"/>
    <mergeCell ref="Q17:Q19"/>
    <mergeCell ref="A17:A20"/>
    <mergeCell ref="M17:M19"/>
    <mergeCell ref="K17:K18"/>
    <mergeCell ref="B17:E17"/>
    <mergeCell ref="F17:J17"/>
    <mergeCell ref="F18:G18"/>
    <mergeCell ref="B18:C18"/>
    <mergeCell ref="L17:L18"/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</mergeCells>
  <pageMargins left="0" right="0" top="0" bottom="0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PEUPLE HEAD OFFICE</cp:lastModifiedBy>
  <dcterms:created xsi:type="dcterms:W3CDTF">2026-07-15T15:57:08Z</dcterms:created>
  <dcterms:modified xsi:type="dcterms:W3CDTF">2026-07-16T11:03:22Z</dcterms:modified>
</cp:coreProperties>
</file>