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25B173F6-DAE6-4251-8A55-F8763F0D3C3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" i="4" l="1"/>
  <c r="S27" i="4"/>
  <c r="O21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K11" i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N1" i="2" l="1"/>
  <c r="O11" i="4" l="1"/>
  <c r="S11" i="4" l="1"/>
  <c r="O14" i="2"/>
  <c r="D21" i="1" l="1"/>
  <c r="C15" i="4"/>
  <c r="N10" i="4" l="1"/>
  <c r="N9" i="4"/>
  <c r="U10" i="4" l="1"/>
  <c r="Q10" i="4"/>
  <c r="O18" i="1"/>
  <c r="O19" i="1"/>
  <c r="O20" i="1"/>
  <c r="S12" i="4" l="1"/>
  <c r="S13" i="4"/>
  <c r="S14" i="4"/>
  <c r="N21" i="4" l="1"/>
  <c r="J16" i="1" l="1"/>
  <c r="K18" i="1"/>
  <c r="K19" i="1"/>
  <c r="K20" i="1"/>
  <c r="K14" i="2"/>
  <c r="K15" i="2"/>
  <c r="K16" i="2"/>
  <c r="K17" i="2"/>
  <c r="O15" i="2"/>
  <c r="O16" i="2"/>
  <c r="O17" i="2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<sst xmlns="http://schemas.openxmlformats.org/spreadsheetml/2006/main" count="132" uniqueCount="83">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</sst>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4" fontId="4" fillId="0" borderId="0" xfId="1" applyNumberFormat="1" applyFont="1"/>
    <xf numFmtId="164" fontId="3" fillId="0" borderId="0" xfId="1" applyNumberFormat="1" applyFont="1"/>
    <xf numFmtId="164" fontId="5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/>
    <xf numFmtId="0" fontId="7" fillId="0" borderId="1" xfId="0" applyFont="1" applyBorder="1"/>
    <xf numFmtId="164" fontId="7" fillId="0" borderId="1" xfId="1" applyNumberFormat="1" applyFont="1" applyBorder="1" applyProtection="1">
      <protection locked="0"/>
    </xf>
    <xf numFmtId="164" fontId="7" fillId="0" borderId="1" xfId="1" applyNumberFormat="1" applyFont="1" applyBorder="1"/>
    <xf numFmtId="164" fontId="7" fillId="0" borderId="1" xfId="0" applyNumberFormat="1" applyFont="1" applyBorder="1"/>
    <xf numFmtId="164" fontId="7" fillId="3" borderId="1" xfId="1" applyNumberFormat="1" applyFont="1" applyFill="1" applyBorder="1" applyProtection="1">
      <protection locked="0"/>
    </xf>
    <xf numFmtId="164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4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4" fontId="7" fillId="0" borderId="0" xfId="1" applyNumberFormat="1" applyFont="1"/>
    <xf numFmtId="164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4" fontId="5" fillId="0" borderId="1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4" fontId="5" fillId="0" borderId="1" xfId="1" applyNumberFormat="1" applyFont="1" applyBorder="1" applyAlignment="1">
      <alignment horizont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0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408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7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50900</v>
          </cell>
        </row>
        <row r="11">
          <cell r="N11"/>
          <cell r="Q11">
            <v>211440</v>
          </cell>
        </row>
        <row r="12">
          <cell r="N12"/>
          <cell r="Q12">
            <v>25370</v>
          </cell>
        </row>
        <row r="13">
          <cell r="N13"/>
          <cell r="Q13">
            <v>28740</v>
          </cell>
        </row>
        <row r="14">
          <cell r="N14">
            <v>122750</v>
          </cell>
          <cell r="Q14">
            <v>-2114115</v>
          </cell>
        </row>
        <row r="15">
          <cell r="N15">
            <v>20240</v>
          </cell>
          <cell r="Q15">
            <v>-255335</v>
          </cell>
        </row>
        <row r="16">
          <cell r="N16"/>
          <cell r="Q16">
            <v>565560</v>
          </cell>
        </row>
        <row r="17">
          <cell r="N17">
            <v>17600</v>
          </cell>
          <cell r="Q17">
            <v>-10400</v>
          </cell>
        </row>
      </sheetData>
      <sheetData sheetId="1">
        <row r="4">
          <cell r="N4">
            <v>235500</v>
          </cell>
          <cell r="Q4">
            <v>436220</v>
          </cell>
        </row>
        <row r="5">
          <cell r="N5">
            <v>69500</v>
          </cell>
          <cell r="Q5">
            <v>374965</v>
          </cell>
        </row>
        <row r="6">
          <cell r="N6">
            <v>430000</v>
          </cell>
          <cell r="Q6">
            <v>608855</v>
          </cell>
        </row>
        <row r="7">
          <cell r="N7">
            <v>118000</v>
          </cell>
          <cell r="Q7">
            <v>505010</v>
          </cell>
        </row>
        <row r="8">
          <cell r="N8">
            <v>277000</v>
          </cell>
          <cell r="Q8">
            <v>678095</v>
          </cell>
        </row>
        <row r="9">
          <cell r="N9">
            <v>237000</v>
          </cell>
          <cell r="Q9">
            <v>798591</v>
          </cell>
        </row>
        <row r="10">
          <cell r="N10">
            <v>132500</v>
          </cell>
          <cell r="Q10">
            <v>231380</v>
          </cell>
        </row>
        <row r="11">
          <cell r="N11">
            <v>260000</v>
          </cell>
          <cell r="Q11">
            <v>263335</v>
          </cell>
        </row>
        <row r="12">
          <cell r="N12">
            <v>41300</v>
          </cell>
          <cell r="Q12">
            <v>-15670</v>
          </cell>
        </row>
        <row r="13">
          <cell r="N13">
            <v>255250</v>
          </cell>
          <cell r="Q13">
            <v>848005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265535</v>
          </cell>
        </row>
        <row r="5">
          <cell r="R5">
            <v>37000</v>
          </cell>
          <cell r="U5">
            <v>1636100</v>
          </cell>
        </row>
        <row r="6">
          <cell r="R6">
            <v>605000</v>
          </cell>
          <cell r="U6">
            <v>503325</v>
          </cell>
        </row>
        <row r="7">
          <cell r="R7">
            <v>201200</v>
          </cell>
          <cell r="U7">
            <v>-40040</v>
          </cell>
        </row>
        <row r="8">
          <cell r="R8">
            <v>79000</v>
          </cell>
          <cell r="U8">
            <v>-13745</v>
          </cell>
        </row>
        <row r="9">
          <cell r="R9">
            <v>39000</v>
          </cell>
          <cell r="U9">
            <v>280560</v>
          </cell>
        </row>
        <row r="10">
          <cell r="R10">
            <v>189500</v>
          </cell>
          <cell r="U10">
            <v>286950</v>
          </cell>
        </row>
        <row r="21">
          <cell r="R21"/>
          <cell r="U21">
            <v>194965</v>
          </cell>
        </row>
        <row r="27">
          <cell r="R27"/>
          <cell r="U27">
            <v>20000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4">
          <cell r="B4"/>
        </row>
        <row r="14"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14">
          <cell r="N14"/>
        </row>
      </sheetData>
      <sheetData sheetId="2">
        <row r="11">
          <cell r="R11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/>
      <sheetData sheetId="2">
        <row r="11">
          <cell r="U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1"/>
  <sheetViews>
    <sheetView workbookViewId="0">
      <selection activeCell="N10" sqref="N10:N17"/>
    </sheetView>
  </sheetViews>
  <sheetFormatPr baseColWidth="10" defaultRowHeight="15" x14ac:dyDescent="0.25"/>
  <cols>
    <col min="1" max="1" width="14.42578125" customWidth="1"/>
    <col min="2" max="2" width="5.85546875" style="2" customWidth="1"/>
    <col min="3" max="3" width="5.85546875" style="7" customWidth="1"/>
    <col min="4" max="8" width="5.85546875" style="2" customWidth="1"/>
    <col min="9" max="9" width="7.42578125" style="2" bestFit="1" customWidth="1"/>
    <col min="10" max="10" width="7.42578125" style="2" customWidth="1"/>
    <col min="11" max="11" width="8.85546875" style="2" customWidth="1"/>
    <col min="12" max="12" width="9.28515625" style="2" customWidth="1"/>
    <col min="13" max="13" width="10.42578125" style="2" customWidth="1"/>
    <col min="14" max="15" width="8.42578125" style="2" customWidth="1"/>
    <col min="16" max="16" width="6.42578125" style="2" customWidth="1"/>
    <col min="17" max="17" width="9.42578125" style="2" customWidth="1"/>
  </cols>
  <sheetData>
    <row r="2" spans="1:17" ht="15" customHeight="1" x14ac:dyDescent="0.25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 x14ac:dyDescent="0.25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 x14ac:dyDescent="0.25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 x14ac:dyDescent="0.25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 x14ac:dyDescent="0.25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 x14ac:dyDescent="0.25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 x14ac:dyDescent="0.25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 x14ac:dyDescent="0.25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 x14ac:dyDescent="0.25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50900</v>
      </c>
      <c r="L10" s="12">
        <v>0</v>
      </c>
      <c r="M10" s="12">
        <f>+J10+K10+L10</f>
        <v>58900</v>
      </c>
      <c r="N10" s="11">
        <v>8000</v>
      </c>
      <c r="O10" s="12">
        <f>+'[1]AGENCE CARREF'!$N10</f>
        <v>0</v>
      </c>
      <c r="P10" s="12"/>
      <c r="Q10" s="12">
        <f t="shared" si="2"/>
        <v>50900</v>
      </c>
    </row>
    <row r="11" spans="1:17" ht="21" customHeight="1" x14ac:dyDescent="0.25">
      <c r="A11" s="10" t="s">
        <v>25</v>
      </c>
      <c r="B11" s="11"/>
      <c r="C11" s="11">
        <v>250</v>
      </c>
      <c r="D11" s="11"/>
      <c r="E11" s="11"/>
      <c r="F11" s="11"/>
      <c r="G11" s="11"/>
      <c r="H11" s="11"/>
      <c r="I11" s="11"/>
      <c r="J11" s="12">
        <f t="shared" si="0"/>
        <v>20000</v>
      </c>
      <c r="K11" s="12">
        <f>+'[1]AGENCE CARREF'!$Q11</f>
        <v>211440</v>
      </c>
      <c r="L11" s="12">
        <v>0</v>
      </c>
      <c r="M11" s="12">
        <f t="shared" si="1"/>
        <v>231440</v>
      </c>
      <c r="N11" s="11"/>
      <c r="O11" s="12">
        <f>+'[1]AGENCE CARREF'!$N11</f>
        <v>0</v>
      </c>
      <c r="P11" s="12"/>
      <c r="Q11" s="12">
        <f t="shared" si="2"/>
        <v>231440</v>
      </c>
    </row>
    <row r="12" spans="1:17" ht="21" customHeight="1" x14ac:dyDescent="0.25">
      <c r="A12" s="10" t="s">
        <v>49</v>
      </c>
      <c r="B12" s="11"/>
      <c r="C12" s="11"/>
      <c r="D12" s="11"/>
      <c r="E12" s="11"/>
      <c r="F12" s="11"/>
      <c r="G12" s="11"/>
      <c r="H12" s="11"/>
      <c r="I12" s="11"/>
      <c r="J12" s="12">
        <f t="shared" si="0"/>
        <v>0</v>
      </c>
      <c r="K12" s="12">
        <f>+'[1]AGENCE CARREF'!$Q12</f>
        <v>25370</v>
      </c>
      <c r="L12" s="12">
        <v>1500</v>
      </c>
      <c r="M12" s="12">
        <f>+J12+K12+L12</f>
        <v>26870</v>
      </c>
      <c r="N12" s="11">
        <v>18000</v>
      </c>
      <c r="O12" s="12">
        <f>+'[1]AGENCE CARREF'!$N12</f>
        <v>0</v>
      </c>
      <c r="P12" s="12"/>
      <c r="Q12" s="12">
        <f t="shared" si="2"/>
        <v>7370</v>
      </c>
    </row>
    <row r="13" spans="1:17" ht="21" customHeight="1" x14ac:dyDescent="0.25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28740</v>
      </c>
      <c r="L13" s="12"/>
      <c r="M13" s="12">
        <f>+J13+K13+L13</f>
        <v>28740</v>
      </c>
      <c r="N13" s="11"/>
      <c r="O13" s="12">
        <f>+'[1]AGENCE CARREF'!$N13</f>
        <v>0</v>
      </c>
      <c r="P13" s="12"/>
      <c r="Q13" s="12">
        <f t="shared" si="2"/>
        <v>28740</v>
      </c>
    </row>
    <row r="14" spans="1:17" ht="21" customHeight="1" x14ac:dyDescent="0.25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-2114115</v>
      </c>
      <c r="L14" s="12">
        <v>0</v>
      </c>
      <c r="M14" s="12">
        <f t="shared" si="1"/>
        <v>-2114115</v>
      </c>
      <c r="N14" s="11">
        <v>90500</v>
      </c>
      <c r="O14" s="12">
        <f>+'[1]AGENCE CARREF'!$N14</f>
        <v>122750</v>
      </c>
      <c r="P14" s="12"/>
      <c r="Q14" s="12">
        <f t="shared" si="2"/>
        <v>-2204615</v>
      </c>
    </row>
    <row r="15" spans="1:17" ht="21" customHeight="1" x14ac:dyDescent="0.25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-255335</v>
      </c>
      <c r="L15" s="12">
        <v>0</v>
      </c>
      <c r="M15" s="12">
        <f t="shared" si="1"/>
        <v>-255335</v>
      </c>
      <c r="N15" s="11">
        <v>20960</v>
      </c>
      <c r="O15" s="12">
        <f>+'[1]AGENCE CARREF'!$N15</f>
        <v>20240</v>
      </c>
      <c r="P15" s="12"/>
      <c r="Q15" s="12">
        <f t="shared" si="2"/>
        <v>-276295</v>
      </c>
    </row>
    <row r="16" spans="1:17" ht="21" customHeight="1" x14ac:dyDescent="0.25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 x14ac:dyDescent="0.25">
      <c r="A17" s="16" t="s">
        <v>79</v>
      </c>
      <c r="B17" s="11"/>
      <c r="C17" s="11">
        <v>160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20800</v>
      </c>
      <c r="K17" s="12">
        <f>+'[1]AGENCE CARREF'!$Q17</f>
        <v>-10400</v>
      </c>
      <c r="L17" s="12">
        <v>24000</v>
      </c>
      <c r="M17" s="12">
        <f>+J17+K17+L17</f>
        <v>34400</v>
      </c>
      <c r="N17" s="11"/>
      <c r="O17" s="12">
        <f>+'[1]AGENCE CARREF'!$N17</f>
        <v>17600</v>
      </c>
      <c r="P17" s="12"/>
      <c r="Q17" s="12">
        <f>+J17+K17-N17</f>
        <v>10400</v>
      </c>
    </row>
    <row r="18" spans="1:17" ht="21" customHeight="1" x14ac:dyDescent="0.25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+'[3]AGENCE CARREF'!$N18</f>
        <v>0</v>
      </c>
      <c r="P18" s="12"/>
      <c r="Q18" s="12">
        <f>+J18+K18-N18</f>
        <v>0</v>
      </c>
    </row>
    <row r="19" spans="1:17" ht="21" customHeight="1" x14ac:dyDescent="0.25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+'[3]AGENCE CARREF'!$N19</f>
        <v>0</v>
      </c>
      <c r="P19" s="12"/>
      <c r="Q19" s="12">
        <f>+J19+K19-N19</f>
        <v>0</v>
      </c>
    </row>
    <row r="20" spans="1:17" ht="21" customHeight="1" x14ac:dyDescent="0.25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+'[3]AGENCE CARREF'!$N20</f>
        <v>0</v>
      </c>
      <c r="P20" s="12"/>
      <c r="Q20" s="12">
        <f>+J20+K20-N20</f>
        <v>0</v>
      </c>
    </row>
    <row r="21" spans="1:17" s="3" customFormat="1" ht="21" customHeight="1" x14ac:dyDescent="0.25">
      <c r="A21" s="18" t="s">
        <v>58</v>
      </c>
      <c r="B21" s="9">
        <f>+SUM(B4:B20)</f>
        <v>0</v>
      </c>
      <c r="C21" s="9">
        <f t="shared" ref="C21:Q21" si="3">+SUM(C4:C20)</f>
        <v>510</v>
      </c>
      <c r="D21" s="9">
        <f>+SUM(D4:D20)</f>
        <v>0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48800</v>
      </c>
      <c r="K21" s="9">
        <f t="shared" si="3"/>
        <v>-1497840</v>
      </c>
      <c r="L21" s="9">
        <f t="shared" si="3"/>
        <v>89200</v>
      </c>
      <c r="M21" s="9">
        <f t="shared" si="3"/>
        <v>-1925400</v>
      </c>
      <c r="N21" s="9">
        <f t="shared" si="3"/>
        <v>137460</v>
      </c>
      <c r="O21" s="9">
        <f t="shared" si="3"/>
        <v>160590</v>
      </c>
      <c r="P21" s="9"/>
      <c r="Q21" s="9">
        <f t="shared" si="3"/>
        <v>-1586500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workbookViewId="0">
      <selection activeCell="N4" sqref="N4:N13"/>
    </sheetView>
  </sheetViews>
  <sheetFormatPr baseColWidth="10" defaultRowHeight="15" x14ac:dyDescent="0.25"/>
  <cols>
    <col min="1" max="1" width="17.85546875" customWidth="1"/>
    <col min="2" max="2" width="4.28515625" style="2" customWidth="1"/>
    <col min="3" max="3" width="6.42578125" style="2" customWidth="1"/>
    <col min="4" max="4" width="5" style="2" customWidth="1"/>
    <col min="5" max="5" width="6.140625" style="2" customWidth="1"/>
    <col min="6" max="6" width="5.7109375" style="2" customWidth="1"/>
    <col min="7" max="7" width="5.5703125" style="2" customWidth="1"/>
    <col min="8" max="8" width="6" style="2" customWidth="1"/>
    <col min="9" max="9" width="6.42578125" style="2" bestFit="1" customWidth="1"/>
    <col min="10" max="10" width="7.42578125" style="2" customWidth="1"/>
    <col min="11" max="11" width="8.85546875" style="2" customWidth="1"/>
    <col min="12" max="12" width="9.7109375" style="6" customWidth="1"/>
    <col min="13" max="13" width="10.42578125" style="6" customWidth="1"/>
    <col min="14" max="14" width="8.140625" style="7" customWidth="1"/>
    <col min="15" max="15" width="7.28515625" style="7" customWidth="1"/>
    <col min="16" max="16" width="6.5703125" style="5" customWidth="1"/>
    <col min="17" max="17" width="8.7109375" customWidth="1"/>
  </cols>
  <sheetData>
    <row r="1" spans="1:17" x14ac:dyDescent="0.25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46246</v>
      </c>
      <c r="O1" s="21"/>
      <c r="P1" s="10"/>
      <c r="Q1" s="10"/>
    </row>
    <row r="2" spans="1:17" s="1" customFormat="1" x14ac:dyDescent="0.2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 x14ac:dyDescent="0.2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 x14ac:dyDescent="0.25">
      <c r="A4" s="10" t="s">
        <v>12</v>
      </c>
      <c r="B4" s="11"/>
      <c r="C4" s="11">
        <v>290</v>
      </c>
      <c r="D4" s="11">
        <v>500</v>
      </c>
      <c r="E4" s="11">
        <v>14</v>
      </c>
      <c r="F4" s="11"/>
      <c r="G4" s="11"/>
      <c r="H4" s="11"/>
      <c r="I4" s="11"/>
      <c r="J4" s="12">
        <f t="shared" ref="J4:J17" si="0">+B4*40+C4*75+D4*100+E4*160+F4*160+H4*80+I4*100</f>
        <v>73990</v>
      </c>
      <c r="K4" s="12">
        <f>+'[1]LIVREUR EXTERNE'!$Q4</f>
        <v>436220</v>
      </c>
      <c r="L4" s="12">
        <v>2003045</v>
      </c>
      <c r="M4" s="12">
        <f>+SUM(J4:L4)</f>
        <v>2513255</v>
      </c>
      <c r="N4" s="11">
        <v>74000</v>
      </c>
      <c r="O4" s="12">
        <f>+'[1]LIVREUR EXTERNE'!$N4</f>
        <v>235500</v>
      </c>
      <c r="P4" s="10"/>
      <c r="Q4" s="13">
        <f>+J4+K4-N4</f>
        <v>436210</v>
      </c>
    </row>
    <row r="5" spans="1:17" ht="24.75" customHeight="1" x14ac:dyDescent="0.25">
      <c r="A5" s="10" t="s">
        <v>19</v>
      </c>
      <c r="B5" s="11"/>
      <c r="C5" s="11">
        <v>400</v>
      </c>
      <c r="D5" s="11">
        <v>60</v>
      </c>
      <c r="E5" s="11"/>
      <c r="F5" s="11"/>
      <c r="G5" s="11"/>
      <c r="H5" s="11"/>
      <c r="I5" s="11"/>
      <c r="J5" s="12">
        <f t="shared" si="0"/>
        <v>36000</v>
      </c>
      <c r="K5" s="12">
        <f>+'[1]LIVREUR EXTERNE'!$Q5</f>
        <v>374965</v>
      </c>
      <c r="L5" s="12">
        <v>833780</v>
      </c>
      <c r="M5" s="12">
        <f t="shared" ref="M5:M17" si="1">+SUM(J5:L5)</f>
        <v>1244745</v>
      </c>
      <c r="N5" s="11"/>
      <c r="O5" s="12">
        <f>+'[1]LIVREUR EXTERNE'!$N5</f>
        <v>69500</v>
      </c>
      <c r="P5" s="10"/>
      <c r="Q5" s="13">
        <f t="shared" ref="Q5:Q17" si="2">+J5+K5-N5</f>
        <v>410965</v>
      </c>
    </row>
    <row r="6" spans="1:17" ht="24.75" customHeight="1" x14ac:dyDescent="0.25">
      <c r="A6" s="10" t="s">
        <v>26</v>
      </c>
      <c r="B6" s="11"/>
      <c r="C6" s="11">
        <v>1240</v>
      </c>
      <c r="D6" s="11">
        <v>475</v>
      </c>
      <c r="E6" s="11">
        <v>5</v>
      </c>
      <c r="F6" s="11"/>
      <c r="G6" s="11"/>
      <c r="H6" s="11"/>
      <c r="I6" s="11">
        <v>10</v>
      </c>
      <c r="J6" s="12">
        <f t="shared" si="0"/>
        <v>142300</v>
      </c>
      <c r="K6" s="12">
        <f>+'[1]LIVREUR EXTERNE'!$Q6</f>
        <v>608855</v>
      </c>
      <c r="L6" s="12">
        <v>1466430</v>
      </c>
      <c r="M6" s="12">
        <f t="shared" si="1"/>
        <v>2217585</v>
      </c>
      <c r="N6" s="11"/>
      <c r="O6" s="12">
        <f>+'[1]LIVREUR EXTERNE'!$N6</f>
        <v>430000</v>
      </c>
      <c r="P6" s="10"/>
      <c r="Q6" s="13">
        <f t="shared" si="2"/>
        <v>751155</v>
      </c>
    </row>
    <row r="7" spans="1:17" ht="24.75" customHeight="1" x14ac:dyDescent="0.25">
      <c r="A7" s="10" t="s">
        <v>15</v>
      </c>
      <c r="B7" s="11"/>
      <c r="C7" s="11">
        <v>750</v>
      </c>
      <c r="D7" s="11">
        <v>570</v>
      </c>
      <c r="E7" s="11">
        <v>5</v>
      </c>
      <c r="F7" s="11"/>
      <c r="G7" s="11"/>
      <c r="H7" s="11"/>
      <c r="I7" s="11"/>
      <c r="J7" s="12">
        <f t="shared" si="0"/>
        <v>114050</v>
      </c>
      <c r="K7" s="12">
        <f>+'[1]LIVREUR EXTERNE'!$Q7</f>
        <v>505010</v>
      </c>
      <c r="L7" s="12">
        <v>1897085</v>
      </c>
      <c r="M7" s="12">
        <f t="shared" si="1"/>
        <v>2516145</v>
      </c>
      <c r="N7" s="11">
        <v>114500</v>
      </c>
      <c r="O7" s="12">
        <f>+'[1]LIVREUR EXTERNE'!$N7</f>
        <v>118000</v>
      </c>
      <c r="P7" s="10"/>
      <c r="Q7" s="13">
        <f t="shared" si="2"/>
        <v>504560</v>
      </c>
    </row>
    <row r="8" spans="1:17" ht="24.75" customHeight="1" x14ac:dyDescent="0.25">
      <c r="A8" s="10" t="s">
        <v>17</v>
      </c>
      <c r="B8" s="11"/>
      <c r="C8" s="11">
        <v>880</v>
      </c>
      <c r="D8" s="11">
        <v>875</v>
      </c>
      <c r="E8" s="11">
        <v>5</v>
      </c>
      <c r="F8" s="11"/>
      <c r="G8" s="11"/>
      <c r="H8" s="11"/>
      <c r="I8" s="11"/>
      <c r="J8" s="12">
        <f t="shared" si="0"/>
        <v>154300</v>
      </c>
      <c r="K8" s="12">
        <f>+'[1]LIVREUR EXTERNE'!$Q8</f>
        <v>678095</v>
      </c>
      <c r="L8" s="12">
        <v>1412040</v>
      </c>
      <c r="M8" s="12">
        <f t="shared" si="1"/>
        <v>2244435</v>
      </c>
      <c r="N8" s="11">
        <v>260000</v>
      </c>
      <c r="O8" s="12">
        <f>+'[1]LIVREUR EXTERNE'!$N8</f>
        <v>277000</v>
      </c>
      <c r="P8" s="10"/>
      <c r="Q8" s="13">
        <f t="shared" si="2"/>
        <v>572395</v>
      </c>
    </row>
    <row r="9" spans="1:17" ht="24.75" customHeight="1" x14ac:dyDescent="0.25">
      <c r="A9" s="10" t="s">
        <v>29</v>
      </c>
      <c r="B9" s="11">
        <v>150</v>
      </c>
      <c r="C9" s="11">
        <v>770</v>
      </c>
      <c r="D9" s="11">
        <v>700</v>
      </c>
      <c r="E9" s="11">
        <v>7</v>
      </c>
      <c r="F9" s="11"/>
      <c r="G9" s="11"/>
      <c r="H9" s="11"/>
      <c r="I9" s="11"/>
      <c r="J9" s="12">
        <f t="shared" si="0"/>
        <v>134870</v>
      </c>
      <c r="K9" s="12">
        <f>+'[1]LIVREUR EXTERNE'!$Q9</f>
        <v>798591</v>
      </c>
      <c r="L9" s="12">
        <v>2175630</v>
      </c>
      <c r="M9" s="12">
        <f t="shared" si="1"/>
        <v>3109091</v>
      </c>
      <c r="N9" s="11">
        <v>141000</v>
      </c>
      <c r="O9" s="12">
        <f>+'[1]LIVREUR EXTERNE'!$N9</f>
        <v>237000</v>
      </c>
      <c r="P9" s="10"/>
      <c r="Q9" s="13">
        <f t="shared" si="2"/>
        <v>792461</v>
      </c>
    </row>
    <row r="10" spans="1:17" ht="24.75" customHeight="1" x14ac:dyDescent="0.25">
      <c r="A10" s="10" t="s">
        <v>21</v>
      </c>
      <c r="B10" s="11"/>
      <c r="C10" s="11">
        <v>120</v>
      </c>
      <c r="D10" s="11">
        <v>280</v>
      </c>
      <c r="E10" s="11">
        <v>27</v>
      </c>
      <c r="F10" s="11"/>
      <c r="G10" s="11"/>
      <c r="H10" s="11"/>
      <c r="I10" s="11"/>
      <c r="J10" s="12">
        <f t="shared" si="0"/>
        <v>41320</v>
      </c>
      <c r="K10" s="12">
        <f>+'[1]LIVREUR EXTERNE'!$Q10</f>
        <v>231380</v>
      </c>
      <c r="L10" s="12">
        <v>1337940</v>
      </c>
      <c r="M10" s="12">
        <f t="shared" si="1"/>
        <v>1610640</v>
      </c>
      <c r="N10" s="11">
        <v>137275</v>
      </c>
      <c r="O10" s="12">
        <f>+'[1]LIVREUR EXTERNE'!$N10</f>
        <v>132500</v>
      </c>
      <c r="P10" s="10"/>
      <c r="Q10" s="13">
        <f t="shared" si="2"/>
        <v>135425</v>
      </c>
    </row>
    <row r="11" spans="1:17" ht="24.75" customHeight="1" x14ac:dyDescent="0.25">
      <c r="A11" s="10" t="s">
        <v>14</v>
      </c>
      <c r="B11" s="14"/>
      <c r="C11" s="14">
        <v>675</v>
      </c>
      <c r="D11" s="14">
        <v>740</v>
      </c>
      <c r="E11" s="14">
        <v>18</v>
      </c>
      <c r="F11" s="14"/>
      <c r="G11" s="14"/>
      <c r="H11" s="14"/>
      <c r="I11" s="14"/>
      <c r="J11" s="15">
        <f t="shared" si="0"/>
        <v>127505</v>
      </c>
      <c r="K11" s="12">
        <f>+'[1]LIVREUR EXTERNE'!$Q11</f>
        <v>263335</v>
      </c>
      <c r="L11" s="15">
        <v>582810</v>
      </c>
      <c r="M11" s="12">
        <f t="shared" si="1"/>
        <v>973650</v>
      </c>
      <c r="N11" s="14">
        <v>129200</v>
      </c>
      <c r="O11" s="12">
        <f>+'[1]LIVREUR EXTERNE'!$N11</f>
        <v>260000</v>
      </c>
      <c r="P11" s="16"/>
      <c r="Q11" s="13">
        <f t="shared" si="2"/>
        <v>261640</v>
      </c>
    </row>
    <row r="12" spans="1:17" ht="24.75" customHeight="1" x14ac:dyDescent="0.25">
      <c r="A12" s="10" t="s">
        <v>75</v>
      </c>
      <c r="B12" s="14"/>
      <c r="C12" s="14">
        <v>770</v>
      </c>
      <c r="D12" s="14">
        <v>750</v>
      </c>
      <c r="E12" s="14">
        <v>28</v>
      </c>
      <c r="F12" s="14"/>
      <c r="G12" s="14"/>
      <c r="H12" s="14"/>
      <c r="I12" s="14"/>
      <c r="J12" s="15">
        <f t="shared" si="0"/>
        <v>137230</v>
      </c>
      <c r="K12" s="12">
        <f>+'[1]LIVREUR EXTERNE'!$Q12</f>
        <v>-15670</v>
      </c>
      <c r="L12" s="15">
        <v>0</v>
      </c>
      <c r="M12" s="12">
        <f t="shared" si="1"/>
        <v>121560</v>
      </c>
      <c r="N12" s="14">
        <v>41050</v>
      </c>
      <c r="O12" s="12">
        <f>+'[1]LIVREUR EXTERNE'!$N12</f>
        <v>41300</v>
      </c>
      <c r="P12" s="16"/>
      <c r="Q12" s="13">
        <f t="shared" si="2"/>
        <v>80510</v>
      </c>
    </row>
    <row r="13" spans="1:17" ht="24.75" customHeight="1" x14ac:dyDescent="0.25">
      <c r="A13" s="10" t="s">
        <v>76</v>
      </c>
      <c r="B13" s="14"/>
      <c r="C13" s="14">
        <v>1315</v>
      </c>
      <c r="D13" s="14">
        <v>1400</v>
      </c>
      <c r="E13" s="14"/>
      <c r="F13" s="14"/>
      <c r="G13" s="14"/>
      <c r="H13" s="14"/>
      <c r="I13" s="14">
        <v>30</v>
      </c>
      <c r="J13" s="15">
        <f t="shared" si="0"/>
        <v>241625</v>
      </c>
      <c r="K13" s="12">
        <f>+'[1]LIVREUR EXTERNE'!$Q13</f>
        <v>848005</v>
      </c>
      <c r="L13" s="15">
        <v>0</v>
      </c>
      <c r="M13" s="12">
        <f t="shared" si="1"/>
        <v>1089630</v>
      </c>
      <c r="N13" s="14">
        <v>400000</v>
      </c>
      <c r="O13" s="12">
        <f>+'[1]LIVREUR EXTERNE'!$N13</f>
        <v>255250</v>
      </c>
      <c r="P13" s="16"/>
      <c r="Q13" s="13">
        <f>+J13+K13-N13</f>
        <v>689630</v>
      </c>
    </row>
    <row r="14" spans="1:17" ht="24.75" customHeight="1" x14ac:dyDescent="0.25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+'[4]LIVREUR EXTERNE'!$N14</f>
        <v>0</v>
      </c>
      <c r="P14" s="16"/>
      <c r="Q14" s="13">
        <f t="shared" si="2"/>
        <v>0</v>
      </c>
    </row>
    <row r="15" spans="1:17" ht="24.75" customHeight="1" x14ac:dyDescent="0.25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 x14ac:dyDescent="0.25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 x14ac:dyDescent="0.25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 x14ac:dyDescent="0.25">
      <c r="A18" s="18" t="s">
        <v>22</v>
      </c>
      <c r="B18" s="9">
        <f>+SUM(B4:B17)</f>
        <v>150</v>
      </c>
      <c r="C18" s="9">
        <f t="shared" ref="C18:N18" si="3">+SUM(C4:C17)</f>
        <v>7210</v>
      </c>
      <c r="D18" s="9">
        <f t="shared" si="3"/>
        <v>6350</v>
      </c>
      <c r="E18" s="9">
        <f>+SUM(E4:E17)</f>
        <v>109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40</v>
      </c>
      <c r="J18" s="9">
        <f t="shared" si="3"/>
        <v>1203190</v>
      </c>
      <c r="K18" s="9">
        <f>+SUM(K4:K17)</f>
        <v>4728786</v>
      </c>
      <c r="L18" s="9">
        <f>+SUM(L4:L17)</f>
        <v>13467865</v>
      </c>
      <c r="M18" s="9">
        <f t="shared" si="3"/>
        <v>19399841</v>
      </c>
      <c r="N18" s="9">
        <f t="shared" si="3"/>
        <v>1297025</v>
      </c>
      <c r="O18" s="9"/>
      <c r="P18" s="18"/>
      <c r="Q18" s="19">
        <f>+SUM(Q4:Q17)</f>
        <v>4634951</v>
      </c>
    </row>
    <row r="20" spans="1:17" ht="15" customHeight="1" x14ac:dyDescent="0.25">
      <c r="B20" s="22"/>
      <c r="C20" s="22"/>
      <c r="D20" s="22"/>
      <c r="E20" s="22"/>
    </row>
    <row r="30" spans="1:17" x14ac:dyDescent="0.25">
      <c r="B30" s="22"/>
    </row>
    <row r="31" spans="1:17" x14ac:dyDescent="0.25">
      <c r="B31" s="22">
        <f>+B18+'AGENCE CARREF'!B21+'LIVREUR INTERNE ETC'!B15</f>
        <v>500</v>
      </c>
      <c r="C31" s="22">
        <f>+C18+'AGENCE CARREF'!C21+'LIVREUR INTERNE ETC'!C15+'LIVREUR INTERNE ETC'!B21</f>
        <v>13145</v>
      </c>
      <c r="D31" s="22">
        <f>+D18+'AGENCE CARREF'!D21+'LIVREUR INTERNE ETC'!D15+'LIVREUR INTERNE ETC'!C21</f>
        <v>6370</v>
      </c>
      <c r="E31" s="22">
        <f>+E18+'AGENCE CARREF'!E21+'LIVREUR INTERNE ETC'!E15</f>
        <v>314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tabSelected="1" zoomScaleNormal="100" workbookViewId="0">
      <selection activeCell="S3" sqref="S3"/>
    </sheetView>
  </sheetViews>
  <sheetFormatPr baseColWidth="10" defaultRowHeight="15" x14ac:dyDescent="0.25"/>
  <cols>
    <col min="1" max="1" width="13.42578125" customWidth="1"/>
    <col min="2" max="2" width="4.7109375" style="7" bestFit="1" customWidth="1"/>
    <col min="3" max="3" width="5" style="7" customWidth="1"/>
    <col min="4" max="6" width="4.7109375" style="7" bestFit="1" customWidth="1"/>
    <col min="7" max="7" width="5.28515625" style="7" customWidth="1"/>
    <col min="8" max="8" width="4.85546875" style="7" bestFit="1" customWidth="1"/>
    <col min="9" max="9" width="4.7109375" style="7" bestFit="1" customWidth="1"/>
    <col min="10" max="10" width="4.7109375" style="7" customWidth="1"/>
    <col min="11" max="11" width="4.7109375" style="7" bestFit="1" customWidth="1"/>
    <col min="12" max="12" width="5.42578125" style="7" customWidth="1"/>
    <col min="13" max="13" width="5" style="7" customWidth="1"/>
    <col min="14" max="14" width="7.7109375" style="6" customWidth="1"/>
    <col min="15" max="15" width="8" style="6" customWidth="1"/>
    <col min="16" max="16" width="7.5703125" style="6" customWidth="1"/>
    <col min="17" max="17" width="8.42578125" style="6" customWidth="1"/>
    <col min="18" max="18" width="7.85546875" style="7" customWidth="1"/>
    <col min="19" max="19" width="6.85546875" style="7" customWidth="1"/>
    <col min="20" max="20" width="5.42578125" style="7" customWidth="1"/>
    <col min="21" max="21" width="7.7109375" style="2" customWidth="1"/>
  </cols>
  <sheetData>
    <row r="1" spans="1:21" s="4" customFormat="1" ht="15" customHeight="1" x14ac:dyDescent="0.25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 x14ac:dyDescent="0.2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 x14ac:dyDescent="0.25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 x14ac:dyDescent="0.25">
      <c r="A4" s="10" t="s">
        <v>40</v>
      </c>
      <c r="B4" s="11"/>
      <c r="C4" s="11">
        <v>40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3200</v>
      </c>
      <c r="O4" s="12">
        <f>+'[1]LIVREUR INTERNE ETC'!$U4</f>
        <v>265535</v>
      </c>
      <c r="P4" s="12">
        <v>476485</v>
      </c>
      <c r="Q4" s="12">
        <f t="shared" si="1"/>
        <v>745220</v>
      </c>
      <c r="R4" s="11"/>
      <c r="S4" s="12">
        <f>+'[1]LIVREUR INTERNE ETC'!$R4</f>
        <v>0</v>
      </c>
      <c r="T4" s="12"/>
      <c r="U4" s="12">
        <f t="shared" si="2"/>
        <v>268735</v>
      </c>
    </row>
    <row r="5" spans="1:21" ht="22.5" customHeight="1" x14ac:dyDescent="0.25">
      <c r="A5" s="10" t="s">
        <v>37</v>
      </c>
      <c r="B5" s="11"/>
      <c r="C5" s="11">
        <v>425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34000</v>
      </c>
      <c r="O5" s="12">
        <f>+'[1]LIVREUR INTERNE ETC'!$U5</f>
        <v>1636100</v>
      </c>
      <c r="P5" s="12">
        <v>91600</v>
      </c>
      <c r="Q5" s="12">
        <f t="shared" si="1"/>
        <v>1761700</v>
      </c>
      <c r="R5" s="11">
        <v>34000</v>
      </c>
      <c r="S5" s="12">
        <f>+'[1]LIVREUR INTERNE ETC'!$R5</f>
        <v>37000</v>
      </c>
      <c r="T5" s="12"/>
      <c r="U5" s="12">
        <f t="shared" si="2"/>
        <v>1636100</v>
      </c>
    </row>
    <row r="6" spans="1:21" ht="22.5" customHeight="1" x14ac:dyDescent="0.25">
      <c r="A6" s="10" t="s">
        <v>39</v>
      </c>
      <c r="B6" s="11">
        <v>250</v>
      </c>
      <c r="C6" s="11">
        <v>1625</v>
      </c>
      <c r="D6" s="11"/>
      <c r="E6" s="11">
        <v>50</v>
      </c>
      <c r="F6" s="11"/>
      <c r="G6" s="11">
        <v>610</v>
      </c>
      <c r="H6" s="11"/>
      <c r="I6" s="11">
        <v>25</v>
      </c>
      <c r="J6" s="11"/>
      <c r="K6" s="11"/>
      <c r="L6" s="11"/>
      <c r="M6" s="11"/>
      <c r="N6" s="12">
        <f t="shared" si="0"/>
        <v>200800</v>
      </c>
      <c r="O6" s="12">
        <f>+'[1]LIVREUR INTERNE ETC'!$U6</f>
        <v>503325</v>
      </c>
      <c r="P6" s="12">
        <v>785440</v>
      </c>
      <c r="Q6" s="12">
        <f t="shared" si="1"/>
        <v>1489565</v>
      </c>
      <c r="R6" s="11"/>
      <c r="S6" s="12">
        <f>+'[1]LIVREUR INTERNE ETC'!$R6</f>
        <v>605000</v>
      </c>
      <c r="T6" s="12"/>
      <c r="U6" s="12">
        <f t="shared" si="2"/>
        <v>704125</v>
      </c>
    </row>
    <row r="7" spans="1:21" ht="22.5" customHeight="1" x14ac:dyDescent="0.25">
      <c r="A7" s="10" t="s">
        <v>35</v>
      </c>
      <c r="B7" s="11">
        <v>100</v>
      </c>
      <c r="C7" s="11">
        <v>1255</v>
      </c>
      <c r="D7" s="11"/>
      <c r="E7" s="11"/>
      <c r="F7" s="11">
        <v>250</v>
      </c>
      <c r="G7" s="11">
        <v>400</v>
      </c>
      <c r="H7" s="11"/>
      <c r="I7" s="11"/>
      <c r="J7" s="11"/>
      <c r="K7" s="11"/>
      <c r="L7" s="11"/>
      <c r="M7" s="11"/>
      <c r="N7" s="12">
        <f t="shared" si="0"/>
        <v>146400</v>
      </c>
      <c r="O7" s="12">
        <f>+'[1]LIVREUR INTERNE ETC'!$U7</f>
        <v>-40040</v>
      </c>
      <c r="P7" s="12">
        <v>20920</v>
      </c>
      <c r="Q7" s="12">
        <f t="shared" si="1"/>
        <v>127280</v>
      </c>
      <c r="R7" s="11">
        <v>249000</v>
      </c>
      <c r="S7" s="12">
        <f>+'[1]LIVREUR INTERNE ETC'!$R7</f>
        <v>201200</v>
      </c>
      <c r="T7" s="12"/>
      <c r="U7" s="12">
        <f t="shared" si="2"/>
        <v>-142640</v>
      </c>
    </row>
    <row r="8" spans="1:21" ht="22.5" customHeight="1" x14ac:dyDescent="0.25">
      <c r="A8" s="29" t="s">
        <v>45</v>
      </c>
      <c r="B8" s="11"/>
      <c r="C8" s="11">
        <v>460</v>
      </c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36800</v>
      </c>
      <c r="O8" s="12">
        <f>+'[1]LIVREUR INTERNE ETC'!$U8</f>
        <v>-13745</v>
      </c>
      <c r="P8" s="12">
        <v>0</v>
      </c>
      <c r="Q8" s="12">
        <f t="shared" si="1"/>
        <v>23055</v>
      </c>
      <c r="R8" s="11">
        <v>32000</v>
      </c>
      <c r="S8" s="12">
        <f>+'[1]LIVREUR INTERNE ETC'!$R8</f>
        <v>79000</v>
      </c>
      <c r="T8" s="12"/>
      <c r="U8" s="12">
        <f t="shared" si="2"/>
        <v>-8945</v>
      </c>
    </row>
    <row r="9" spans="1:21" ht="22.5" customHeight="1" x14ac:dyDescent="0.25">
      <c r="A9" s="10" t="s">
        <v>41</v>
      </c>
      <c r="B9" s="11"/>
      <c r="C9" s="11">
        <v>325</v>
      </c>
      <c r="D9" s="11">
        <v>20</v>
      </c>
      <c r="E9" s="11"/>
      <c r="F9" s="11"/>
      <c r="G9" s="11">
        <v>362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56960</v>
      </c>
      <c r="O9" s="12">
        <f>+'[1]LIVREUR INTERNE ETC'!$U9</f>
        <v>280560</v>
      </c>
      <c r="P9" s="12">
        <v>0</v>
      </c>
      <c r="Q9" s="12">
        <f t="shared" si="1"/>
        <v>337520</v>
      </c>
      <c r="R9" s="11">
        <v>47500</v>
      </c>
      <c r="S9" s="12">
        <f>+'[1]LIVREUR INTERNE ETC'!$R9</f>
        <v>39000</v>
      </c>
      <c r="T9" s="12"/>
      <c r="U9" s="12">
        <f t="shared" si="2"/>
        <v>290020</v>
      </c>
    </row>
    <row r="10" spans="1:21" ht="22.5" customHeight="1" x14ac:dyDescent="0.25">
      <c r="A10" s="10" t="s">
        <v>82</v>
      </c>
      <c r="B10" s="11"/>
      <c r="C10" s="11">
        <v>1205</v>
      </c>
      <c r="D10" s="11"/>
      <c r="E10" s="11">
        <v>105</v>
      </c>
      <c r="F10" s="11">
        <v>50</v>
      </c>
      <c r="G10" s="11">
        <v>950</v>
      </c>
      <c r="H10" s="11"/>
      <c r="I10" s="11">
        <v>30</v>
      </c>
      <c r="J10" s="11"/>
      <c r="K10" s="11"/>
      <c r="L10" s="11"/>
      <c r="M10" s="11"/>
      <c r="N10" s="12">
        <f t="shared" si="3"/>
        <v>196000</v>
      </c>
      <c r="O10" s="12">
        <f>+'[1]LIVREUR INTERNE ETC'!$U10</f>
        <v>286950</v>
      </c>
      <c r="P10" s="12"/>
      <c r="Q10" s="12">
        <f t="shared" si="1"/>
        <v>482950</v>
      </c>
      <c r="R10" s="11">
        <v>217400</v>
      </c>
      <c r="S10" s="12">
        <f>+'[1]LIVREUR INTERNE ETC'!$R10</f>
        <v>189500</v>
      </c>
      <c r="T10" s="12"/>
      <c r="U10" s="12">
        <f t="shared" si="2"/>
        <v>265550</v>
      </c>
    </row>
    <row r="11" spans="1:21" ht="22.5" customHeight="1" x14ac:dyDescent="0.25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+'[5]LIVREUR INTERNE ETC'!$U11</f>
        <v>0</v>
      </c>
      <c r="P11" s="12">
        <v>1785760</v>
      </c>
      <c r="Q11" s="12">
        <f t="shared" si="1"/>
        <v>1785760</v>
      </c>
      <c r="R11" s="11"/>
      <c r="S11" s="12">
        <f>+'[4]LIVREUR INTERNE ETC'!$R11</f>
        <v>0</v>
      </c>
      <c r="T11" s="12"/>
      <c r="U11" s="12">
        <f t="shared" si="2"/>
        <v>0</v>
      </c>
    </row>
    <row r="12" spans="1:21" ht="22.5" customHeight="1" x14ac:dyDescent="0.25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ETC'!$U11</f>
        <v>0</v>
      </c>
      <c r="P12" s="12">
        <v>1912780</v>
      </c>
      <c r="Q12" s="12">
        <f t="shared" si="1"/>
        <v>1912780</v>
      </c>
      <c r="R12" s="11"/>
      <c r="S12" s="12">
        <f>+'[3]LIVREUR INTERNE ETC'!$R11</f>
        <v>0</v>
      </c>
      <c r="T12" s="12"/>
      <c r="U12" s="12">
        <f t="shared" si="2"/>
        <v>0</v>
      </c>
    </row>
    <row r="13" spans="1:21" ht="22.5" customHeight="1" x14ac:dyDescent="0.25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ETC'!$U12</f>
        <v>0</v>
      </c>
      <c r="P13" s="12">
        <v>539260</v>
      </c>
      <c r="Q13" s="12">
        <f t="shared" si="1"/>
        <v>539260</v>
      </c>
      <c r="R13" s="11"/>
      <c r="S13" s="12">
        <f>+'[3]LIVREUR INTERNE ETC'!$R12</f>
        <v>0</v>
      </c>
      <c r="T13" s="12"/>
      <c r="U13" s="12">
        <f t="shared" si="2"/>
        <v>0</v>
      </c>
    </row>
    <row r="14" spans="1:21" ht="22.5" customHeight="1" x14ac:dyDescent="0.25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ETC'!$U13</f>
        <v>0</v>
      </c>
      <c r="P14" s="12">
        <v>811420</v>
      </c>
      <c r="Q14" s="12">
        <f t="shared" si="1"/>
        <v>811420</v>
      </c>
      <c r="R14" s="11"/>
      <c r="S14" s="12">
        <f>+'[3]LIVREUR INTERNE ETC'!$R13</f>
        <v>0</v>
      </c>
      <c r="T14" s="12"/>
      <c r="U14" s="12">
        <f t="shared" si="2"/>
        <v>0</v>
      </c>
    </row>
    <row r="15" spans="1:21" s="3" customFormat="1" ht="22.5" customHeight="1" x14ac:dyDescent="0.25">
      <c r="A15" s="18" t="s">
        <v>42</v>
      </c>
      <c r="B15" s="9">
        <f t="shared" ref="B15:R15" si="4">+SUM(B3:B14)</f>
        <v>350</v>
      </c>
      <c r="C15" s="9">
        <f>+SUM(C3:C14)</f>
        <v>5335</v>
      </c>
      <c r="D15" s="9">
        <f t="shared" si="4"/>
        <v>20</v>
      </c>
      <c r="E15" s="9">
        <f t="shared" si="4"/>
        <v>155</v>
      </c>
      <c r="F15" s="9">
        <f t="shared" si="4"/>
        <v>300</v>
      </c>
      <c r="G15" s="9">
        <f t="shared" si="4"/>
        <v>2322</v>
      </c>
      <c r="H15" s="9">
        <f t="shared" si="4"/>
        <v>0</v>
      </c>
      <c r="I15" s="9">
        <f t="shared" si="4"/>
        <v>55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/>
      <c r="N15" s="9">
        <f t="shared" si="4"/>
        <v>674160</v>
      </c>
      <c r="O15" s="9">
        <f t="shared" si="4"/>
        <v>6212065</v>
      </c>
      <c r="P15" s="9">
        <f t="shared" si="4"/>
        <v>6719615</v>
      </c>
      <c r="Q15" s="9">
        <f t="shared" si="4"/>
        <v>13605840</v>
      </c>
      <c r="R15" s="9">
        <f t="shared" si="4"/>
        <v>579900</v>
      </c>
      <c r="S15" s="9"/>
      <c r="T15" s="9"/>
      <c r="U15" s="9">
        <f>+SUM(U3:U14)</f>
        <v>6306325</v>
      </c>
    </row>
    <row r="16" spans="1:21" x14ac:dyDescent="0.25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x14ac:dyDescent="0.25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 x14ac:dyDescent="0.25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 x14ac:dyDescent="0.2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x14ac:dyDescent="0.2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 x14ac:dyDescent="0.25">
      <c r="A21" s="32"/>
      <c r="B21" s="11">
        <v>90</v>
      </c>
      <c r="C21" s="11"/>
      <c r="D21" s="11"/>
      <c r="E21" s="11">
        <v>150</v>
      </c>
      <c r="F21" s="11"/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13200</v>
      </c>
      <c r="O21" s="12">
        <f>+'[1]LIVREUR INTERNE ETC'!$U21</f>
        <v>194965</v>
      </c>
      <c r="P21" s="12">
        <v>10400</v>
      </c>
      <c r="Q21" s="12">
        <f>+SUM(N21:P21)</f>
        <v>218565</v>
      </c>
      <c r="R21" s="11">
        <v>34300</v>
      </c>
      <c r="S21" s="12">
        <f>+'[1]LIVREUR INTERNE ETC'!$R21</f>
        <v>0</v>
      </c>
      <c r="T21" s="12"/>
      <c r="U21" s="12">
        <f>+N21+O21-R21</f>
        <v>173865</v>
      </c>
    </row>
    <row r="22" spans="1:21" x14ac:dyDescent="0.25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x14ac:dyDescent="0.25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 x14ac:dyDescent="0.25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 x14ac:dyDescent="0.25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x14ac:dyDescent="0.2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 x14ac:dyDescent="0.25">
      <c r="A27" s="32"/>
      <c r="B27" s="11"/>
      <c r="C27" s="11"/>
      <c r="D27" s="11"/>
      <c r="E27" s="11"/>
      <c r="F27" s="11"/>
      <c r="G27" s="11">
        <v>100</v>
      </c>
      <c r="H27" s="11"/>
      <c r="I27" s="11"/>
      <c r="J27" s="11"/>
      <c r="K27" s="11">
        <v>150</v>
      </c>
      <c r="L27" s="11"/>
      <c r="M27" s="11"/>
      <c r="N27" s="12">
        <f>+B27*80+C27*160+D27*350+E27*80+F27*80+G27*40+H27*40+I27*40+K27*40+L27*80</f>
        <v>10000</v>
      </c>
      <c r="O27" s="12">
        <f>+'[1]LIVREUR INTERNE ETC'!$U27</f>
        <v>20000</v>
      </c>
      <c r="P27" s="12">
        <v>6000</v>
      </c>
      <c r="Q27" s="12">
        <f>+SUM(N27:P27)</f>
        <v>36000</v>
      </c>
      <c r="R27" s="11"/>
      <c r="S27" s="12">
        <f>+'[1]LIVREUR INTERNE ETC'!$R27</f>
        <v>0</v>
      </c>
      <c r="T27" s="12"/>
      <c r="U27" s="12">
        <f>+N27+O27-R27</f>
        <v>30000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2026-08-12T17:02:45Z</cp:lastPrinted>
  <dcterms:created xsi:type="dcterms:W3CDTF">2026-07-15T15:57:08Z</dcterms:created>
  <dcterms:modified xsi:type="dcterms:W3CDTF">2026-08-12T17:21:50Z</dcterms:modified>
</cp:coreProperties>
</file>